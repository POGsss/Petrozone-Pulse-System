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rectory" sheetId="1" r:id="rId5"/>
    <sheet state="visible" name="Sprints" sheetId="2" r:id="rId6"/>
    <sheet state="visible" name="READ ME" sheetId="3" r:id="rId7"/>
  </sheets>
  <definedNames/>
  <calcPr/>
</workbook>
</file>

<file path=xl/sharedStrings.xml><?xml version="1.0" encoding="utf-8"?>
<sst xmlns="http://schemas.openxmlformats.org/spreadsheetml/2006/main" count="286" uniqueCount="186">
  <si>
    <t>MILESTONE TRACKER</t>
  </si>
  <si>
    <t>Module Name</t>
  </si>
  <si>
    <t>Soft Deadline</t>
  </si>
  <si>
    <t>Days Left</t>
  </si>
  <si>
    <t>Status</t>
  </si>
  <si>
    <t>Deliverable Link</t>
  </si>
  <si>
    <t>Development, Env Setup, &amp; Testing</t>
  </si>
  <si>
    <t>Done</t>
  </si>
  <si>
    <t>Core Architecture Module</t>
  </si>
  <si>
    <t>Doing</t>
  </si>
  <si>
    <t>Order Fulfillment Module</t>
  </si>
  <si>
    <t>Not Started</t>
  </si>
  <si>
    <t>Inventory Module</t>
  </si>
  <si>
    <t>Customer Management Module</t>
  </si>
  <si>
    <t>Reporting &amp; Analytics Module</t>
  </si>
  <si>
    <t>SLIDE DECK LINKS</t>
  </si>
  <si>
    <t>Event Name</t>
  </si>
  <si>
    <t>Date Presented</t>
  </si>
  <si>
    <t>Link</t>
  </si>
  <si>
    <t>Minutes File*</t>
  </si>
  <si>
    <t>[5Byte x SPM] Jumpstart Dev Alignment</t>
  </si>
  <si>
    <r>
      <rPr>
        <color rgb="FF1155CC"/>
        <u/>
      </rPr>
      <t>https://www.canva.com/design/DAHAPXrpGws/ho4AtDiaoLu7CXx6K7bywA/edit</t>
    </r>
  </si>
  <si>
    <t>DOCUMENT LINKS</t>
  </si>
  <si>
    <t>Document Name</t>
  </si>
  <si>
    <t>Key Contents / Remarks</t>
  </si>
  <si>
    <t>Petrozone BPMN Assessment</t>
  </si>
  <si>
    <t>[5Byte x SPM] Client Documentation</t>
  </si>
  <si>
    <t>Working</t>
  </si>
  <si>
    <t>Gap Analysis, Current process flows</t>
  </si>
  <si>
    <t>5Byte Use Case Diagrams</t>
  </si>
  <si>
    <t>Modular Requirements</t>
  </si>
  <si>
    <t>5Byte User Stories</t>
  </si>
  <si>
    <t>Sprint Documentation/Tracker</t>
  </si>
  <si>
    <t>[5Byte X SPM] Masterfile</t>
  </si>
  <si>
    <t>ID</t>
  </si>
  <si>
    <t>Sprint</t>
  </si>
  <si>
    <t>WBS</t>
  </si>
  <si>
    <t>WBS Task / Module</t>
  </si>
  <si>
    <t>Components Included (from WBS)</t>
  </si>
  <si>
    <t>FR No.</t>
  </si>
  <si>
    <t>Functional Requirement Supported</t>
  </si>
  <si>
    <t>Component</t>
  </si>
  <si>
    <t>Resources</t>
  </si>
  <si>
    <t>Notes</t>
  </si>
  <si>
    <t>Priority</t>
  </si>
  <si>
    <t>Developers</t>
  </si>
  <si>
    <t>User Stories</t>
  </si>
  <si>
    <t>Acceptance Criteria</t>
  </si>
  <si>
    <t>Sprint 1 | Feb 1-7</t>
  </si>
  <si>
    <t>Development &amp; Testing</t>
  </si>
  <si>
    <t>Dev environment setup, testing plan</t>
  </si>
  <si>
    <t>—</t>
  </si>
  <si>
    <t>Sprint setup, test strategy definition</t>
  </si>
  <si>
    <t>Dev Environment Configuration</t>
  </si>
  <si>
    <t>5BYTE-SCRUM_MTG</t>
  </si>
  <si>
    <t>HIGH</t>
  </si>
  <si>
    <t>Frankie Pinat, Lyka Gutierrez</t>
  </si>
  <si>
    <t>IN PROGRESS</t>
  </si>
  <si>
    <t>Sprint 2 | Feb 8 – Feb 14</t>
  </si>
  <si>
    <t>Manage Branch Profiles</t>
  </si>
  <si>
    <t>FR-9</t>
  </si>
  <si>
    <t>Create, update, and link branch profiles to users, customers, vehicles</t>
  </si>
  <si>
    <t>Vehicle Profile UI</t>
  </si>
  <si>
    <t>MEDIUM</t>
  </si>
  <si>
    <t>Not started</t>
  </si>
  <si>
    <t>Manage User Roles</t>
  </si>
  <si>
    <t>FR-7</t>
  </si>
  <si>
    <t>Role-based access control, role templates, branch assignment</t>
  </si>
  <si>
    <t>Vehicle Data Model</t>
  </si>
  <si>
    <t>Enforce User Log-in</t>
  </si>
  <si>
    <t>FR-8</t>
  </si>
  <si>
    <t>Secure authentication, admin-only user creation</t>
  </si>
  <si>
    <t>Services &amp; Products UI</t>
  </si>
  <si>
    <t>Enforce Mandatory Fields</t>
  </si>
  <si>
    <t>FR-12</t>
  </si>
  <si>
    <t>Validation rules on critical forms</t>
  </si>
  <si>
    <t>Services–Products Mapping</t>
  </si>
  <si>
    <t>Record Audit Logs</t>
  </si>
  <si>
    <t>FR-17</t>
  </si>
  <si>
    <t>System-wide audit trail for all key actions</t>
  </si>
  <si>
    <t>Job Order Workflow Engine</t>
  </si>
  <si>
    <t>LOW</t>
  </si>
  <si>
    <t>Core Architecture Module Testing</t>
  </si>
  <si>
    <t>Verification of RBAC, login, branch logic</t>
  </si>
  <si>
    <t>Job Order UI</t>
  </si>
  <si>
    <t>Manage Vehicle Profiles</t>
  </si>
  <si>
    <t>FR-1</t>
  </si>
  <si>
    <t>Vehicle CRUD, OR/CR storage, service history</t>
  </si>
  <si>
    <t>Inventory Auto-Deduction</t>
  </si>
  <si>
    <t>Manage Services, Products, Packages</t>
  </si>
  <si>
    <t>FR-2</t>
  </si>
  <si>
    <t>Many-to-many service–product–package management</t>
  </si>
  <si>
    <t>Operational Dashboard UI</t>
  </si>
  <si>
    <t>Manage Pricing Matrices</t>
  </si>
  <si>
    <t>FR-10</t>
  </si>
  <si>
    <t>Labor and pricing tables used for quotations</t>
  </si>
  <si>
    <t>Dashboard Data Services</t>
  </si>
  <si>
    <t>Generate Job Orders</t>
  </si>
  <si>
    <t>FR-3</t>
  </si>
  <si>
    <t>End-to-end job order workflow with templates</t>
  </si>
  <si>
    <t>Report Configuration UI</t>
  </si>
  <si>
    <t>Manage Customer Profiles</t>
  </si>
  <si>
    <t>FR-15</t>
  </si>
  <si>
    <t>Customer CRUD, vehicle and service linkage</t>
  </si>
  <si>
    <t>Report Export Engine</t>
  </si>
  <si>
    <t>Record Third-Party Repairs</t>
  </si>
  <si>
    <t>FR-16</t>
  </si>
  <si>
    <t>Open-ended repair records outside menus</t>
  </si>
  <si>
    <t>Purchase Order Management</t>
  </si>
  <si>
    <t>Order Fulfillment Module Testing</t>
  </si>
  <si>
    <t>Validation of job order lifecycle &amp; pricing</t>
  </si>
  <si>
    <t>RBAC Engine</t>
  </si>
  <si>
    <t>Record Stock-In</t>
  </si>
  <si>
    <t>FR-6</t>
  </si>
  <si>
    <t>Purchase orders, stock replenishment templates</t>
  </si>
  <si>
    <t>Role-Based UI Adaptation</t>
  </si>
  <si>
    <t>Manage Supplier Profiles</t>
  </si>
  <si>
    <t>FR-13</t>
  </si>
  <si>
    <t>Supplier CRUD with contact and linkage</t>
  </si>
  <si>
    <t>Authentication Module</t>
  </si>
  <si>
    <t>Manage Supplier Products</t>
  </si>
  <si>
    <t>FR-14</t>
  </si>
  <si>
    <t>Supplier–product one-to-one mapping</t>
  </si>
  <si>
    <t>Branch Management UI</t>
  </si>
  <si>
    <t>Inventory Module Testing</t>
  </si>
  <si>
    <t>Inventory accuracy and PO logic testing</t>
  </si>
  <si>
    <t>Pricing Matrix Engine</t>
  </si>
  <si>
    <t>Send Service Reminders</t>
  </si>
  <si>
    <t>FR-19</t>
  </si>
  <si>
    <t>Automated service reminders via SMS/Email</t>
  </si>
  <si>
    <t>Performance Analytics Engine</t>
  </si>
  <si>
    <t>Push System Notifications</t>
  </si>
  <si>
    <t>FR-18</t>
  </si>
  <si>
    <t>Job status alerts to relevant users</t>
  </si>
  <si>
    <t>Validation Layer</t>
  </si>
  <si>
    <t>Customer Management Module Testing</t>
  </si>
  <si>
    <t>Notification and reminder verification</t>
  </si>
  <si>
    <t>Supplier Profile UI</t>
  </si>
  <si>
    <t>Real-Time Dashboards</t>
  </si>
  <si>
    <t>FR-4</t>
  </si>
  <si>
    <t>Live sales, inventory, and workshop metrics</t>
  </si>
  <si>
    <t>Supplier Product Mapping</t>
  </si>
  <si>
    <t>Generate Reports</t>
  </si>
  <si>
    <t>FR-5</t>
  </si>
  <si>
    <t>Configurable and exportable reports</t>
  </si>
  <si>
    <t>Customer Profile UI</t>
  </si>
  <si>
    <t>Display Staff Performance Analytics</t>
  </si>
  <si>
    <t>FR-11</t>
  </si>
  <si>
    <t>Job completion time, sales per staff</t>
  </si>
  <si>
    <t>Third-Party Repair Records</t>
  </si>
  <si>
    <t>Reporting &amp; Analytics Module Testing</t>
  </si>
  <si>
    <t>Data accuracy and performance validation</t>
  </si>
  <si>
    <t>Audit Logging Service</t>
  </si>
  <si>
    <t>Slack Time</t>
  </si>
  <si>
    <t>Bug fixing, refinements</t>
  </si>
  <si>
    <t>All</t>
  </si>
  <si>
    <t>Cross-module stabilization</t>
  </si>
  <si>
    <t>Notification Engine</t>
  </si>
  <si>
    <t>Sprints Documentation</t>
  </si>
  <si>
    <t>Sprint &amp; system documentation</t>
  </si>
  <si>
    <t>Technical and user documentation</t>
  </si>
  <si>
    <t>Reminder Scheduler</t>
  </si>
  <si>
    <t>System Prototype Approval</t>
  </si>
  <si>
    <t>Final review &amp; sign-off</t>
  </si>
  <si>
    <t>Client acceptance of prototype</t>
  </si>
  <si>
    <t>Core Architecture</t>
  </si>
  <si>
    <t>DIRECTORY</t>
  </si>
  <si>
    <t>Name</t>
  </si>
  <si>
    <t>Nickname</t>
  </si>
  <si>
    <t>Primary</t>
  </si>
  <si>
    <t>Lark Email</t>
  </si>
  <si>
    <t>Phone Number</t>
  </si>
  <si>
    <t>Keoni Dylim</t>
  </si>
  <si>
    <t>Keoni</t>
  </si>
  <si>
    <t>john.dylim@student.ateneo.edu</t>
  </si>
  <si>
    <t>keonidyl@gmail.com</t>
  </si>
  <si>
    <t>Luis Madrid</t>
  </si>
  <si>
    <t>Luis</t>
  </si>
  <si>
    <t>luis.c.madrid@student.ateneo.edu</t>
  </si>
  <si>
    <t>luiscabmadrid@gmail.com</t>
  </si>
  <si>
    <t>Sprint Overview</t>
  </si>
  <si>
    <t>Sprint Planning</t>
  </si>
  <si>
    <r>
      <rPr>
        <rFont val="Karla"/>
        <b/>
        <color rgb="FF000000"/>
        <sz val="14.0"/>
      </rPr>
      <t>What a Sprint Is</t>
    </r>
    <r>
      <rPr>
        <rFont val="Karla"/>
        <color rgb="FF000000"/>
        <sz val="14.0"/>
      </rPr>
      <t xml:space="preserve">
</t>
    </r>
    <r>
      <rPr>
        <rFont val="Karla"/>
        <i/>
        <color rgb="FF000000"/>
        <sz val="14.0"/>
      </rPr>
      <t>A sprint is a fixed, short work cycle (usually 1 week in your case).</t>
    </r>
    <r>
      <rPr>
        <rFont val="Karla"/>
        <color rgb="FF000000"/>
        <sz val="14.0"/>
      </rPr>
      <t xml:space="preserve">
(Each sprint delivers a usable, testable increment of the system.)
</t>
    </r>
    <r>
      <rPr>
        <rFont val="Karla"/>
        <color rgb="FF000000"/>
        <sz val="14.0"/>
        <u/>
      </rPr>
      <t>How Sprints Fit the Project</t>
    </r>
    <r>
      <rPr>
        <rFont val="Karla"/>
        <color rgb="FF000000"/>
        <sz val="14.0"/>
      </rPr>
      <t xml:space="preserve">
The overall timeline defines phases and priorities.
Each sprint selects a small subset of components/tasks from the backlog.
Scope is locked once the sprint starts; (</t>
    </r>
    <r>
      <rPr>
        <rFont val="Karla"/>
        <i/>
        <color rgb="FF000000"/>
        <sz val="14.0"/>
      </rPr>
      <t>unfinished work rolls into the next sprint.)</t>
    </r>
    <r>
      <rPr>
        <rFont val="Karla"/>
        <color rgb="FF000000"/>
        <sz val="14.0"/>
      </rPr>
      <t xml:space="preserve">
— What Comes Out of Every Sprint
— Completed features or components
—Updated sprint document
— Feedback for improvement (process + product)</t>
    </r>
  </si>
  <si>
    <r>
      <rPr>
        <rFont val="Karla"/>
        <b/>
        <color theme="1"/>
      </rPr>
      <t>1. Sprint Planning Meeting</t>
    </r>
    <r>
      <rPr>
        <rFont val="Karla"/>
        <color theme="1"/>
      </rPr>
      <t xml:space="preserve">
When: Weekly sprint meet
</t>
    </r>
    <r>
      <rPr>
        <rFont val="Karla"/>
        <color theme="1"/>
        <u/>
      </rPr>
      <t>Agenda</t>
    </r>
    <r>
      <rPr>
        <rFont val="Karla"/>
        <color theme="1"/>
      </rPr>
      <t xml:space="preserve">
a. Review project priorities &amp; timeline
b. Define the sprint goal
c. Select tasks/components for the sprint
d. Assign owners &amp; confirm feasibility
e. Finalize sprint document
</t>
    </r>
    <r>
      <rPr>
        <rFont val="Karla"/>
        <color theme="1"/>
        <u/>
      </rPr>
      <t>Output</t>
    </r>
    <r>
      <rPr>
        <rFont val="Karla"/>
        <color theme="1"/>
      </rPr>
      <t xml:space="preserve">
- Accepted or revised features
- Feedback for next sprint</t>
    </r>
  </si>
  <si>
    <r>
      <rPr>
        <rFont val="Karla"/>
        <b/>
        <color theme="1"/>
      </rPr>
      <t>2. Sprint Review (Demo)</t>
    </r>
    <r>
      <rPr>
        <rFont val="Karla"/>
        <color theme="1"/>
      </rPr>
      <t xml:space="preserve">
When: Weekly sprint meet
</t>
    </r>
    <r>
      <rPr>
        <rFont val="Karla"/>
        <color theme="1"/>
        <u/>
      </rPr>
      <t>Agenda</t>
    </r>
    <r>
      <rPr>
        <rFont val="Karla"/>
        <color theme="1"/>
      </rPr>
      <t xml:space="preserve">
Demo completed features
Review sprint goal vs actual output
Collect feedback
Confirm accepted work
</t>
    </r>
    <r>
      <rPr>
        <rFont val="Karla"/>
        <color theme="1"/>
        <u/>
      </rPr>
      <t>Output</t>
    </r>
    <r>
      <rPr>
        <rFont val="Karla"/>
        <color theme="1"/>
      </rPr>
      <t xml:space="preserve">
- Accepted or revised features
- Feedback for next sprint</t>
    </r>
  </si>
  <si>
    <r>
      <rPr>
        <rFont val="Karla"/>
        <b/>
        <color theme="1"/>
      </rPr>
      <t>3. Stand-Up Meetings</t>
    </r>
    <r>
      <rPr>
        <rFont val="Karla"/>
        <color theme="1"/>
      </rPr>
      <t xml:space="preserve">
When: Daily or 2–3× a week (5–10 mins)
</t>
    </r>
    <r>
      <rPr>
        <rFont val="Karla"/>
        <color theme="1"/>
        <u/>
      </rPr>
      <t>Agenda</t>
    </r>
    <r>
      <rPr>
        <rFont val="Karla"/>
        <color theme="1"/>
      </rPr>
      <t xml:space="preserve">
a. What did I complete?
b. What will I work on next?
c. Any blockers?
</t>
    </r>
    <r>
      <rPr>
        <rFont val="Karla"/>
        <color theme="1"/>
        <u/>
      </rPr>
      <t>Output</t>
    </r>
    <r>
      <rPr>
        <rFont val="Karla"/>
        <color theme="1"/>
      </rPr>
      <t xml:space="preserve">
- Updated task status
- Blockers identified early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</si>
</sst>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 d"/>
    <numFmt numFmtId="165" formatCode="0#"/>
  </numFmts>
  <fonts count="23">
    <font>
      <sz val="10.0"/>
      <color rgb="FF000000"/>
      <name val="Arial"/>
      <scheme val="minor"/>
    </font>
    <font>
      <b/>
      <i/>
      <color rgb="FFFFFFFF"/>
      <name val="Inter Tight"/>
    </font>
    <font>
      <b/>
      <i/>
      <color rgb="FF1C406A"/>
      <name val="Inter Tight"/>
    </font>
    <font/>
    <font>
      <color rgb="FF1C406A"/>
      <name val="Inter Tight"/>
    </font>
    <font>
      <color theme="1"/>
      <name val="Inter Tight"/>
    </font>
    <font>
      <color theme="1"/>
      <name val="Arial"/>
    </font>
    <font>
      <u/>
      <color rgb="FF0000FF"/>
    </font>
    <font>
      <u/>
      <color rgb="FF1155CC"/>
      <name val="Inter Tight"/>
    </font>
    <font>
      <u/>
      <color rgb="FF1C406A"/>
      <name val="Inter Tight"/>
    </font>
    <font>
      <u/>
      <color theme="1"/>
      <name val="Inter Tight"/>
    </font>
    <font>
      <b/>
      <sz val="11.0"/>
      <color rgb="FFFFFFFF"/>
      <name val="Inter Tight"/>
    </font>
    <font>
      <sz val="10.0"/>
      <color theme="1"/>
      <name val="Inter Tight"/>
    </font>
    <font>
      <sz val="10.0"/>
      <color rgb="FF023E8A"/>
      <name val="Inter Tight"/>
    </font>
    <font>
      <sz val="8.0"/>
      <color theme="1"/>
      <name val="Inter Tight"/>
    </font>
    <font>
      <u/>
      <sz val="10.0"/>
      <color theme="1"/>
      <name val="Inter Tight"/>
    </font>
    <font>
      <b/>
      <color rgb="FFFFFFFF"/>
      <name val="Arial"/>
    </font>
    <font>
      <b/>
      <i/>
      <color rgb="FFD9D9D9"/>
      <name val="Arial"/>
    </font>
    <font>
      <color rgb="FF023E8A"/>
      <name val="Arial"/>
    </font>
    <font>
      <i/>
      <color rgb="FF023E8A"/>
      <name val="Arial"/>
    </font>
    <font>
      <b/>
      <sz val="12.0"/>
      <color rgb="FFFFFFFF"/>
      <name val="Arial"/>
    </font>
    <font>
      <sz val="14.0"/>
      <color rgb="FF000000"/>
      <name val="Karla"/>
    </font>
    <font>
      <color theme="1"/>
      <name val="Karla"/>
    </font>
  </fonts>
  <fills count="11">
    <fill>
      <patternFill patternType="none"/>
    </fill>
    <fill>
      <patternFill patternType="lightGray"/>
    </fill>
    <fill>
      <patternFill patternType="solid">
        <fgColor rgb="FF0C315C"/>
        <bgColor rgb="FF0C315C"/>
      </patternFill>
    </fill>
    <fill>
      <patternFill patternType="solid">
        <fgColor rgb="FFFFFFFF"/>
        <bgColor rgb="FFFFFFFF"/>
      </patternFill>
    </fill>
    <fill>
      <patternFill patternType="solid">
        <fgColor rgb="FFE68077"/>
        <bgColor rgb="FFE68077"/>
      </patternFill>
    </fill>
    <fill>
      <patternFill patternType="solid">
        <fgColor rgb="FFE7837A"/>
        <bgColor rgb="FFE7837A"/>
      </patternFill>
    </fill>
    <fill>
      <patternFill patternType="solid">
        <fgColor rgb="FFEA948C"/>
        <bgColor rgb="FFEA948C"/>
      </patternFill>
    </fill>
    <fill>
      <patternFill patternType="solid">
        <fgColor rgb="FFEB9A93"/>
        <bgColor rgb="FFEB9A93"/>
      </patternFill>
    </fill>
    <fill>
      <patternFill patternType="solid">
        <fgColor rgb="FFEC9F98"/>
        <bgColor rgb="FFEC9F98"/>
      </patternFill>
    </fill>
    <fill>
      <patternFill patternType="solid">
        <fgColor rgb="FF023E8A"/>
        <bgColor rgb="FF023E8A"/>
      </patternFill>
    </fill>
    <fill>
      <patternFill patternType="solid">
        <fgColor rgb="FFC9DAF8"/>
        <bgColor rgb="FFC9DAF8"/>
      </patternFill>
    </fill>
  </fills>
  <borders count="2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23E8A"/>
      </left>
      <right style="thin">
        <color rgb="FF023E8A"/>
      </right>
      <top style="thin">
        <color rgb="FF023E8A"/>
      </top>
      <bottom style="thin">
        <color rgb="FF023E8A"/>
      </bottom>
    </border>
    <border>
      <left style="thin">
        <color rgb="FF023E8A"/>
      </left>
      <top style="thin">
        <color rgb="FF023E8A"/>
      </top>
    </border>
    <border>
      <top style="thin">
        <color rgb="FF023E8A"/>
      </top>
    </border>
    <border>
      <right style="thin">
        <color rgb="FF023E8A"/>
      </right>
      <top style="thin">
        <color rgb="FF023E8A"/>
      </top>
    </border>
    <border>
      <left style="thin">
        <color rgb="FF023E8A"/>
      </left>
    </border>
    <border>
      <right style="thin">
        <color rgb="FF023E8A"/>
      </right>
    </border>
    <border>
      <left style="thin">
        <color rgb="FF023E8A"/>
      </left>
      <top style="thin">
        <color rgb="FF023E8A"/>
      </top>
      <bottom style="thin">
        <color rgb="FF023E8A"/>
      </bottom>
    </border>
    <border>
      <left style="thin">
        <color rgb="FF023E8A"/>
      </left>
      <right style="thin">
        <color rgb="FF023E8A"/>
      </right>
      <top style="thin">
        <color rgb="FF023E8A"/>
      </top>
      <bottom style="thin">
        <color rgb="FFFFFFFF"/>
      </bottom>
    </border>
    <border>
      <left style="thin">
        <color rgb="FF023E8A"/>
      </left>
      <top style="thin">
        <color rgb="FF023E8A"/>
      </top>
      <bottom style="thin">
        <color rgb="FFFFFFFF"/>
      </bottom>
    </border>
    <border>
      <right style="thin">
        <color rgb="FF023E8A"/>
      </right>
      <top style="thin">
        <color rgb="FF023E8A"/>
      </top>
      <bottom style="thin">
        <color rgb="FFFFFFFF"/>
      </bottom>
    </border>
    <border>
      <right style="thin">
        <color rgb="FF023E8A"/>
      </right>
      <top style="thin">
        <color rgb="FF023E8A"/>
      </top>
      <bottom style="thin">
        <color rgb="FF023E8A"/>
      </bottom>
    </border>
    <border>
      <left style="thin">
        <color rgb="FF023E8A"/>
      </left>
      <right style="thin">
        <color rgb="FF023E8A"/>
      </right>
      <bottom style="thin">
        <color rgb="FFFFFFFF"/>
      </bottom>
    </border>
    <border>
      <left style="thin">
        <color rgb="FF023E8A"/>
      </left>
      <bottom style="thin">
        <color rgb="FFFFFFFF"/>
      </bottom>
    </border>
    <border>
      <right style="thin">
        <color rgb="FF023E8A"/>
      </right>
      <bottom style="thin">
        <color rgb="FFFFFFFF"/>
      </bottom>
    </border>
    <border>
      <left style="thin">
        <color rgb="FF023E8A"/>
      </left>
      <right style="thin">
        <color rgb="FF023E8A"/>
      </right>
      <top style="thin">
        <color rgb="FFFFFFFF"/>
      </top>
      <bottom style="thin">
        <color rgb="FFFFFFFF"/>
      </bottom>
    </border>
    <border>
      <left style="thin">
        <color rgb="FF023E8A"/>
      </left>
      <right style="thin">
        <color rgb="FF023E8A"/>
      </right>
      <top style="thin">
        <color rgb="FFFFFFFF"/>
      </top>
      <bottom style="thin">
        <color rgb="FF023E8A"/>
      </bottom>
    </border>
    <border>
      <left style="thin">
        <color rgb="FF023E8A"/>
      </left>
      <right style="thin">
        <color rgb="FF023E8A"/>
      </right>
      <bottom style="thin">
        <color rgb="FF023E8A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wrapText="1"/>
    </xf>
    <xf borderId="2" fillId="0" fontId="3" numFmtId="0" xfId="0" applyBorder="1" applyFont="1"/>
    <xf borderId="3" fillId="0" fontId="2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horizontal="center" readingOrder="0"/>
    </xf>
    <xf borderId="0" fillId="3" fontId="4" numFmtId="3" xfId="0" applyAlignment="1" applyFill="1" applyFont="1" applyNumberFormat="1">
      <alignment horizontal="center"/>
    </xf>
    <xf borderId="0" fillId="0" fontId="5" numFmtId="0" xfId="0" applyAlignment="1" applyFont="1">
      <alignment horizontal="center"/>
    </xf>
    <xf borderId="0" fillId="0" fontId="6" numFmtId="0" xfId="0" applyFont="1"/>
    <xf borderId="0" fillId="4" fontId="4" numFmtId="3" xfId="0" applyAlignment="1" applyFill="1" applyFont="1" applyNumberFormat="1">
      <alignment horizontal="center"/>
    </xf>
    <xf borderId="0" fillId="0" fontId="5" numFmtId="0" xfId="0" applyAlignment="1" applyFont="1">
      <alignment horizontal="center" readingOrder="0"/>
    </xf>
    <xf borderId="0" fillId="5" fontId="4" numFmtId="3" xfId="0" applyAlignment="1" applyFill="1" applyFont="1" applyNumberFormat="1">
      <alignment horizontal="center"/>
    </xf>
    <xf borderId="0" fillId="6" fontId="4" numFmtId="3" xfId="0" applyAlignment="1" applyFill="1" applyFont="1" applyNumberFormat="1">
      <alignment horizontal="center"/>
    </xf>
    <xf borderId="0" fillId="0" fontId="5" numFmtId="0" xfId="0" applyFont="1"/>
    <xf borderId="0" fillId="7" fontId="4" numFmtId="3" xfId="0" applyAlignment="1" applyFill="1" applyFont="1" applyNumberFormat="1">
      <alignment horizontal="center"/>
    </xf>
    <xf borderId="0" fillId="8" fontId="4" numFmtId="3" xfId="0" applyAlignment="1" applyFill="1" applyFont="1" applyNumberFormat="1">
      <alignment horizontal="center"/>
    </xf>
    <xf borderId="0" fillId="0" fontId="4" numFmtId="0" xfId="0" applyAlignment="1" applyFont="1">
      <alignment horizontal="center" shrinkToFit="0" wrapText="1"/>
    </xf>
    <xf borderId="0" fillId="0" fontId="4" numFmtId="0" xfId="0" applyAlignment="1" applyFont="1">
      <alignment horizontal="center"/>
    </xf>
    <xf borderId="0" fillId="0" fontId="7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4" numFmtId="164" xfId="0" applyAlignment="1" applyFont="1" applyNumberFormat="1">
      <alignment horizontal="center"/>
    </xf>
    <xf borderId="0" fillId="0" fontId="8" numFmtId="0" xfId="0" applyAlignment="1" applyFont="1">
      <alignment shrinkToFit="0" wrapText="0"/>
    </xf>
    <xf borderId="1" fillId="0" fontId="2" numFmtId="0" xfId="0" applyAlignment="1" applyBorder="1" applyFont="1">
      <alignment horizontal="center" shrinkToFit="0" wrapText="1"/>
    </xf>
    <xf borderId="4" fillId="0" fontId="3" numFmtId="0" xfId="0" applyBorder="1" applyFont="1"/>
    <xf borderId="0" fillId="0" fontId="4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9" fontId="11" numFmtId="165" xfId="0" applyAlignment="1" applyFill="1" applyFont="1" applyNumberFormat="1">
      <alignment horizontal="center" vertical="center"/>
    </xf>
    <xf borderId="0" fillId="9" fontId="11" numFmtId="0" xfId="0" applyAlignment="1" applyFont="1">
      <alignment horizontal="center" vertical="center"/>
    </xf>
    <xf borderId="0" fillId="9" fontId="11" numFmtId="0" xfId="0" applyAlignment="1" applyFont="1">
      <alignment horizontal="center" readingOrder="0" vertical="center"/>
    </xf>
    <xf borderId="0" fillId="9" fontId="11" numFmtId="0" xfId="0" applyAlignment="1" applyFont="1">
      <alignment horizontal="center" readingOrder="0" shrinkToFit="0" vertical="center" wrapText="1"/>
    </xf>
    <xf borderId="0" fillId="9" fontId="12" numFmtId="0" xfId="0" applyFont="1"/>
    <xf borderId="0" fillId="10" fontId="13" numFmtId="165" xfId="0" applyAlignment="1" applyFill="1" applyFont="1" applyNumberFormat="1">
      <alignment horizontal="center" readingOrder="0" vertical="center"/>
    </xf>
    <xf borderId="0" fillId="3" fontId="14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3" fontId="15" numFmtId="0" xfId="0" applyAlignment="1" applyFont="1">
      <alignment readingOrder="0" vertical="center"/>
    </xf>
    <xf borderId="0" fillId="3" fontId="12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shrinkToFit="0" vertical="center" wrapText="1"/>
    </xf>
    <xf borderId="0" fillId="3" fontId="12" numFmtId="0" xfId="0" applyAlignment="1" applyFont="1">
      <alignment vertical="center"/>
    </xf>
    <xf borderId="0" fillId="3" fontId="12" numFmtId="0" xfId="0" applyAlignment="1" applyFont="1">
      <alignment horizontal="center" vertical="center"/>
    </xf>
    <xf borderId="0" fillId="0" fontId="12" numFmtId="0" xfId="0" applyAlignment="1" applyFont="1">
      <alignment vertical="center"/>
    </xf>
    <xf borderId="0" fillId="0" fontId="12" numFmtId="165" xfId="0" applyAlignment="1" applyFont="1" applyNumberFormat="1">
      <alignment vertical="center"/>
    </xf>
    <xf borderId="0" fillId="0" fontId="14" numFmtId="0" xfId="0" applyAlignment="1" applyFont="1">
      <alignment vertical="center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2" numFmtId="0" xfId="0" applyFont="1"/>
    <xf borderId="0" fillId="0" fontId="12" numFmtId="0" xfId="0" applyAlignment="1" applyFont="1">
      <alignment horizontal="center" shrinkToFit="0" vertical="center" wrapText="1"/>
    </xf>
    <xf borderId="5" fillId="9" fontId="6" numFmtId="0" xfId="0" applyAlignment="1" applyBorder="1" applyFont="1">
      <alignment vertical="bottom"/>
    </xf>
    <xf borderId="6" fillId="9" fontId="16" numFmtId="0" xfId="0" applyAlignment="1" applyBorder="1" applyFont="1">
      <alignment horizontal="center" readingOrder="0" vertical="center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9" fontId="6" numFmtId="0" xfId="0" applyAlignment="1" applyBorder="1" applyFont="1">
      <alignment vertical="bottom"/>
    </xf>
    <xf borderId="12" fillId="9" fontId="17" numFmtId="0" xfId="0" applyAlignment="1" applyBorder="1" applyFont="1">
      <alignment horizontal="center" readingOrder="0" vertical="center"/>
    </xf>
    <xf borderId="13" fillId="9" fontId="17" numFmtId="0" xfId="0" applyAlignment="1" applyBorder="1" applyFont="1">
      <alignment horizontal="center" readingOrder="0" vertical="center"/>
    </xf>
    <xf borderId="14" fillId="0" fontId="3" numFmtId="0" xfId="0" applyBorder="1" applyFont="1"/>
    <xf borderId="15" fillId="9" fontId="6" numFmtId="0" xfId="0" applyAlignment="1" applyBorder="1" applyFont="1">
      <alignment vertical="bottom"/>
    </xf>
    <xf borderId="16" fillId="3" fontId="18" numFmtId="0" xfId="0" applyAlignment="1" applyBorder="1" applyFont="1">
      <alignment horizontal="center" readingOrder="0" vertical="center"/>
    </xf>
    <xf borderId="16" fillId="3" fontId="19" numFmtId="0" xfId="0" applyAlignment="1" applyBorder="1" applyFont="1">
      <alignment horizontal="center" readingOrder="0" vertical="center"/>
    </xf>
    <xf borderId="17" fillId="3" fontId="18" numFmtId="0" xfId="0" applyAlignment="1" applyBorder="1" applyFont="1">
      <alignment horizontal="center" readingOrder="0" vertical="center"/>
    </xf>
    <xf borderId="18" fillId="0" fontId="3" numFmtId="0" xfId="0" applyBorder="1" applyFont="1"/>
    <xf borderId="19" fillId="3" fontId="18" numFmtId="0" xfId="0" applyAlignment="1" applyBorder="1" applyFont="1">
      <alignment horizontal="center" readingOrder="0" vertical="center"/>
    </xf>
    <xf borderId="19" fillId="3" fontId="19" numFmtId="0" xfId="0" applyAlignment="1" applyBorder="1" applyFont="1">
      <alignment horizontal="center" readingOrder="0" vertical="center"/>
    </xf>
    <xf borderId="19" fillId="3" fontId="18" numFmtId="0" xfId="0" applyAlignment="1" applyBorder="1" applyFont="1">
      <alignment horizontal="center" vertical="center"/>
    </xf>
    <xf borderId="19" fillId="3" fontId="19" numFmtId="0" xfId="0" applyAlignment="1" applyBorder="1" applyFont="1">
      <alignment horizontal="center" vertical="center"/>
    </xf>
    <xf borderId="17" fillId="3" fontId="18" numFmtId="0" xfId="0" applyAlignment="1" applyBorder="1" applyFont="1">
      <alignment horizontal="center" vertical="center"/>
    </xf>
    <xf borderId="20" fillId="3" fontId="18" numFmtId="0" xfId="0" applyAlignment="1" applyBorder="1" applyFont="1">
      <alignment horizontal="center" vertical="center"/>
    </xf>
    <xf borderId="20" fillId="3" fontId="19" numFmtId="0" xfId="0" applyAlignment="1" applyBorder="1" applyFont="1">
      <alignment horizontal="center" vertical="center"/>
    </xf>
    <xf borderId="9" fillId="9" fontId="20" numFmtId="0" xfId="0" applyAlignment="1" applyBorder="1" applyFont="1">
      <alignment horizontal="center" readingOrder="0" vertical="center"/>
    </xf>
    <xf borderId="21" fillId="9" fontId="6" numFmtId="0" xfId="0" applyAlignment="1" applyBorder="1" applyFont="1">
      <alignment vertical="bottom"/>
    </xf>
    <xf borderId="0" fillId="3" fontId="21" numFmtId="0" xfId="0" applyAlignment="1" applyFont="1">
      <alignment horizontal="left" readingOrder="0" shrinkToFit="0" vertical="top" wrapText="1"/>
    </xf>
    <xf borderId="5" fillId="9" fontId="22" numFmtId="0" xfId="0" applyAlignment="1" applyBorder="1" applyFont="1">
      <alignment vertical="bottom"/>
    </xf>
    <xf borderId="0" fillId="0" fontId="2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canva.com/design/DAHAPXrpGws/ho4AtDiaoLu7CXx6K7bywA/edit" TargetMode="External"/><Relationship Id="rId2" Type="http://schemas.openxmlformats.org/officeDocument/2006/relationships/hyperlink" Target="https://docs.google.com/document/d/1Xf9WK0XWoZ7IlJL5cm33WI4vBs3ETrkiVMCMHAHvwCQ/edit?tab=t.gzz3973mlmy2" TargetMode="External"/><Relationship Id="rId3" Type="http://schemas.openxmlformats.org/officeDocument/2006/relationships/hyperlink" Target="https://docs.google.com/document/d/1Xf9WK0XWoZ7IlJL5cm33WI4vBs3ETrkiVMCMHAHvwCQ/edit?tab=t.7v9p04nxyrs3" TargetMode="External"/><Relationship Id="rId4" Type="http://schemas.openxmlformats.org/officeDocument/2006/relationships/hyperlink" Target="https://docs.google.com/document/d/1Xf9WK0XWoZ7IlJL5cm33WI4vBs3ETrkiVMCMHAHvwCQ/edit?tab=t.m5lqvjchyend" TargetMode="External"/><Relationship Id="rId5" Type="http://schemas.openxmlformats.org/officeDocument/2006/relationships/hyperlink" Target="https://docs.google.com/spreadsheets/d/1iPjZftaEwcj4awwSJpqDwTaZ-FTeWqSKOOK8zmD2WSI/edit?gid=0" TargetMode="External"/><Relationship Id="rId6" Type="http://schemas.openxmlformats.org/officeDocument/2006/relationships/hyperlink" Target="https://docs.google.com/spreadsheets/d/1iPjZftaEwcj4awwSJpqDwTaZ-FTeWqSKOOK8zmD2WSI/edit?gid=0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YIW_m40C0-NtCzmlRX3IZulwzk-hLny8KOUx-M9MhI4/edit?tab=t.0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88"/>
  </cols>
  <sheetData>
    <row r="1">
      <c r="A1" s="1" t="s">
        <v>0</v>
      </c>
    </row>
    <row r="2">
      <c r="A2" s="2" t="s">
        <v>1</v>
      </c>
      <c r="B2" s="3"/>
      <c r="C2" s="4" t="s">
        <v>2</v>
      </c>
      <c r="D2" s="5" t="s">
        <v>3</v>
      </c>
      <c r="E2" s="5" t="s">
        <v>4</v>
      </c>
      <c r="F2" s="6" t="s">
        <v>5</v>
      </c>
      <c r="G2" s="3"/>
    </row>
    <row r="3">
      <c r="A3" s="7" t="s">
        <v>6</v>
      </c>
      <c r="C3" s="8">
        <v>46059.0</v>
      </c>
      <c r="D3" s="9">
        <f t="shared" ref="D3:D8" si="1">DATEVALUE(C3)-TODAY()</f>
        <v>2</v>
      </c>
      <c r="E3" s="10" t="s">
        <v>7</v>
      </c>
      <c r="F3" s="11"/>
    </row>
    <row r="4">
      <c r="A4" s="7" t="s">
        <v>8</v>
      </c>
      <c r="C4" s="8">
        <v>46067.0</v>
      </c>
      <c r="D4" s="12">
        <f t="shared" si="1"/>
        <v>10</v>
      </c>
      <c r="E4" s="13" t="s">
        <v>9</v>
      </c>
      <c r="F4" s="11"/>
    </row>
    <row r="5">
      <c r="A5" s="7" t="s">
        <v>10</v>
      </c>
      <c r="C5" s="8">
        <v>46081.0</v>
      </c>
      <c r="D5" s="14">
        <f t="shared" si="1"/>
        <v>24</v>
      </c>
      <c r="E5" s="13" t="s">
        <v>11</v>
      </c>
      <c r="F5" s="11"/>
    </row>
    <row r="6">
      <c r="A6" s="7" t="s">
        <v>12</v>
      </c>
      <c r="C6" s="8">
        <v>46088.0</v>
      </c>
      <c r="D6" s="15">
        <f t="shared" si="1"/>
        <v>31</v>
      </c>
      <c r="E6" s="16" t="s">
        <v>11</v>
      </c>
      <c r="F6" s="11"/>
    </row>
    <row r="7">
      <c r="A7" s="7" t="s">
        <v>13</v>
      </c>
      <c r="C7" s="8">
        <v>46095.0</v>
      </c>
      <c r="D7" s="17">
        <f t="shared" si="1"/>
        <v>38</v>
      </c>
      <c r="E7" s="16" t="s">
        <v>11</v>
      </c>
      <c r="F7" s="11"/>
    </row>
    <row r="8">
      <c r="A8" s="7" t="s">
        <v>14</v>
      </c>
      <c r="C8" s="8">
        <v>46102.0</v>
      </c>
      <c r="D8" s="18">
        <f t="shared" si="1"/>
        <v>45</v>
      </c>
      <c r="E8" s="16" t="s">
        <v>11</v>
      </c>
      <c r="F8" s="11"/>
    </row>
    <row r="9">
      <c r="A9" s="11"/>
      <c r="B9" s="11"/>
      <c r="C9" s="11"/>
      <c r="D9" s="11"/>
      <c r="E9" s="11"/>
      <c r="F9" s="11"/>
      <c r="G9" s="11"/>
    </row>
    <row r="10">
      <c r="A10" s="1" t="s">
        <v>15</v>
      </c>
    </row>
    <row r="11">
      <c r="A11" s="19" t="s">
        <v>16</v>
      </c>
      <c r="C11" s="20" t="s">
        <v>17</v>
      </c>
      <c r="D11" s="20" t="s">
        <v>18</v>
      </c>
      <c r="E11" s="20" t="s">
        <v>19</v>
      </c>
    </row>
    <row r="12">
      <c r="A12" s="7" t="s">
        <v>20</v>
      </c>
      <c r="C12" s="8">
        <v>46056.0</v>
      </c>
      <c r="D12" s="21" t="s">
        <v>21</v>
      </c>
      <c r="E12" s="11"/>
    </row>
    <row r="13">
      <c r="A13" s="22"/>
      <c r="C13" s="23"/>
      <c r="D13" s="24"/>
      <c r="E13" s="11"/>
    </row>
    <row r="14">
      <c r="A14" s="11"/>
      <c r="B14" s="11"/>
      <c r="C14" s="11"/>
      <c r="D14" s="11"/>
      <c r="E14" s="11"/>
      <c r="F14" s="11"/>
      <c r="G14" s="11"/>
    </row>
    <row r="15">
      <c r="A15" s="1" t="s">
        <v>22</v>
      </c>
    </row>
    <row r="16">
      <c r="A16" s="25" t="s">
        <v>23</v>
      </c>
      <c r="B16" s="3"/>
      <c r="C16" s="5" t="s">
        <v>18</v>
      </c>
      <c r="D16" s="5" t="s">
        <v>4</v>
      </c>
      <c r="E16" s="6" t="s">
        <v>24</v>
      </c>
      <c r="F16" s="26"/>
      <c r="G16" s="3"/>
    </row>
    <row r="17">
      <c r="A17" s="27" t="s">
        <v>25</v>
      </c>
      <c r="C17" s="28" t="s">
        <v>26</v>
      </c>
      <c r="D17" s="16" t="s">
        <v>27</v>
      </c>
      <c r="E17" s="7" t="s">
        <v>28</v>
      </c>
    </row>
    <row r="18">
      <c r="A18" s="27" t="s">
        <v>29</v>
      </c>
      <c r="C18" s="29" t="s">
        <v>26</v>
      </c>
      <c r="D18" s="16" t="s">
        <v>27</v>
      </c>
      <c r="E18" s="7" t="s">
        <v>30</v>
      </c>
    </row>
    <row r="19">
      <c r="A19" s="27" t="s">
        <v>31</v>
      </c>
      <c r="C19" s="29" t="s">
        <v>26</v>
      </c>
      <c r="D19" s="16" t="s">
        <v>27</v>
      </c>
      <c r="E19" s="22"/>
    </row>
    <row r="20">
      <c r="A20" s="27" t="s">
        <v>32</v>
      </c>
      <c r="C20" s="28" t="s">
        <v>33</v>
      </c>
      <c r="D20" s="16" t="s">
        <v>27</v>
      </c>
      <c r="E20" s="22"/>
    </row>
    <row r="21">
      <c r="A21" s="27" t="s">
        <v>32</v>
      </c>
      <c r="C21" s="28" t="s">
        <v>33</v>
      </c>
      <c r="D21" s="16" t="s">
        <v>27</v>
      </c>
      <c r="E21" s="22"/>
    </row>
  </sheetData>
  <mergeCells count="35">
    <mergeCell ref="F4:G4"/>
    <mergeCell ref="F5:G5"/>
    <mergeCell ref="A1:G1"/>
    <mergeCell ref="A2:B2"/>
    <mergeCell ref="F2:G2"/>
    <mergeCell ref="A3:B3"/>
    <mergeCell ref="F3:G3"/>
    <mergeCell ref="A4:B4"/>
    <mergeCell ref="A5:B5"/>
    <mergeCell ref="A6:B6"/>
    <mergeCell ref="F6:G6"/>
    <mergeCell ref="A7:B7"/>
    <mergeCell ref="F7:G7"/>
    <mergeCell ref="A8:B8"/>
    <mergeCell ref="F8:G8"/>
    <mergeCell ref="A10:G10"/>
    <mergeCell ref="A11:B11"/>
    <mergeCell ref="E11:G11"/>
    <mergeCell ref="A12:B12"/>
    <mergeCell ref="E12:G12"/>
    <mergeCell ref="A13:B13"/>
    <mergeCell ref="A18:B18"/>
    <mergeCell ref="A19:B19"/>
    <mergeCell ref="A20:B20"/>
    <mergeCell ref="A21:B21"/>
    <mergeCell ref="E19:G19"/>
    <mergeCell ref="E20:G20"/>
    <mergeCell ref="E21:G21"/>
    <mergeCell ref="E13:G13"/>
    <mergeCell ref="A15:G15"/>
    <mergeCell ref="A16:B16"/>
    <mergeCell ref="E16:G16"/>
    <mergeCell ref="A17:B17"/>
    <mergeCell ref="E17:G17"/>
    <mergeCell ref="E18:G18"/>
  </mergeCells>
  <dataValidations>
    <dataValidation type="list" allowBlank="1" showErrorMessage="1" sqref="E3:E8">
      <formula1>"Not Started,Doing,Done"</formula1>
    </dataValidation>
    <dataValidation type="list" allowBlank="1" showErrorMessage="1" sqref="D17:D21">
      <formula1>"Working,Archived"</formula1>
    </dataValidation>
  </dataValidations>
  <hyperlinks>
    <hyperlink r:id="rId1" ref="D12"/>
    <hyperlink r:id="rId2" ref="C17"/>
    <hyperlink r:id="rId3" ref="C18"/>
    <hyperlink r:id="rId4" ref="C19"/>
    <hyperlink r:id="rId5" location="gid=0" ref="C20"/>
    <hyperlink r:id="rId6" location="gid=0" ref="C21"/>
  </hyperlink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21.38"/>
    <col customWidth="1" min="3" max="3" width="8.75"/>
    <col customWidth="1" min="4" max="5" width="28.63"/>
    <col customWidth="1" min="6" max="6" width="11.0"/>
    <col customWidth="1" min="7" max="7" width="32.25"/>
    <col customWidth="1" min="8" max="9" width="22.25"/>
    <col customWidth="1" min="10" max="10" width="21.25"/>
    <col customWidth="1" min="11" max="13" width="18.25"/>
    <col customWidth="1" min="14" max="14" width="2.88"/>
    <col customWidth="1" min="15" max="16" width="19.88"/>
  </cols>
  <sheetData>
    <row r="1" ht="29.25" customHeight="1">
      <c r="A1" s="30" t="s">
        <v>34</v>
      </c>
      <c r="B1" s="31" t="s">
        <v>35</v>
      </c>
      <c r="C1" s="32" t="s">
        <v>36</v>
      </c>
      <c r="D1" s="32" t="s">
        <v>37</v>
      </c>
      <c r="E1" s="32" t="s">
        <v>38</v>
      </c>
      <c r="F1" s="32" t="s">
        <v>39</v>
      </c>
      <c r="G1" s="32" t="s">
        <v>40</v>
      </c>
      <c r="H1" s="32" t="s">
        <v>41</v>
      </c>
      <c r="I1" s="32" t="s">
        <v>42</v>
      </c>
      <c r="J1" s="32" t="s">
        <v>43</v>
      </c>
      <c r="K1" s="31" t="s">
        <v>44</v>
      </c>
      <c r="L1" s="33" t="s">
        <v>45</v>
      </c>
      <c r="M1" s="31" t="s">
        <v>4</v>
      </c>
      <c r="N1" s="34"/>
      <c r="O1" s="32" t="s">
        <v>46</v>
      </c>
      <c r="P1" s="32" t="s">
        <v>47</v>
      </c>
    </row>
    <row r="2" ht="30.0" customHeight="1">
      <c r="A2" s="35">
        <v>1.0</v>
      </c>
      <c r="B2" s="36" t="s">
        <v>48</v>
      </c>
      <c r="C2" s="37">
        <v>1.0</v>
      </c>
      <c r="D2" s="38" t="s">
        <v>49</v>
      </c>
      <c r="E2" s="38" t="s">
        <v>50</v>
      </c>
      <c r="F2" s="37" t="s">
        <v>51</v>
      </c>
      <c r="G2" s="38" t="s">
        <v>52</v>
      </c>
      <c r="H2" s="38" t="s">
        <v>53</v>
      </c>
      <c r="I2" s="38"/>
      <c r="J2" s="39" t="s">
        <v>54</v>
      </c>
      <c r="K2" s="40" t="s">
        <v>55</v>
      </c>
      <c r="L2" s="41" t="s">
        <v>56</v>
      </c>
      <c r="M2" s="40" t="s">
        <v>57</v>
      </c>
      <c r="N2" s="34"/>
      <c r="O2" s="38"/>
      <c r="P2" s="38"/>
    </row>
    <row r="3" ht="30.0" customHeight="1">
      <c r="A3" s="35">
        <v>2.0</v>
      </c>
      <c r="B3" s="36" t="s">
        <v>58</v>
      </c>
      <c r="C3" s="37">
        <v>2.0</v>
      </c>
      <c r="D3" s="38" t="s">
        <v>8</v>
      </c>
      <c r="E3" s="38" t="s">
        <v>59</v>
      </c>
      <c r="F3" s="37" t="s">
        <v>60</v>
      </c>
      <c r="G3" s="38" t="s">
        <v>61</v>
      </c>
      <c r="H3" s="38" t="s">
        <v>62</v>
      </c>
      <c r="I3" s="38"/>
      <c r="J3" s="42"/>
      <c r="K3" s="40" t="s">
        <v>63</v>
      </c>
      <c r="L3" s="41" t="s">
        <v>56</v>
      </c>
      <c r="M3" s="40" t="s">
        <v>64</v>
      </c>
      <c r="N3" s="34"/>
      <c r="O3" s="38"/>
      <c r="P3" s="38"/>
    </row>
    <row r="4" ht="30.0" customHeight="1">
      <c r="A4" s="35">
        <v>3.0</v>
      </c>
      <c r="B4" s="36" t="s">
        <v>58</v>
      </c>
      <c r="E4" s="38" t="s">
        <v>65</v>
      </c>
      <c r="F4" s="37" t="s">
        <v>66</v>
      </c>
      <c r="G4" s="38" t="s">
        <v>67</v>
      </c>
      <c r="H4" s="38" t="s">
        <v>68</v>
      </c>
      <c r="I4" s="38"/>
      <c r="J4" s="42"/>
      <c r="K4" s="40" t="s">
        <v>55</v>
      </c>
      <c r="L4" s="41" t="s">
        <v>56</v>
      </c>
      <c r="M4" s="40" t="s">
        <v>64</v>
      </c>
      <c r="N4" s="34"/>
      <c r="O4" s="38"/>
      <c r="P4" s="38"/>
    </row>
    <row r="5" ht="30.0" customHeight="1">
      <c r="A5" s="35">
        <v>4.0</v>
      </c>
      <c r="B5" s="36" t="s">
        <v>58</v>
      </c>
      <c r="E5" s="38" t="s">
        <v>69</v>
      </c>
      <c r="F5" s="37" t="s">
        <v>70</v>
      </c>
      <c r="G5" s="38" t="s">
        <v>71</v>
      </c>
      <c r="H5" s="38" t="s">
        <v>72</v>
      </c>
      <c r="I5" s="38"/>
      <c r="J5" s="42"/>
      <c r="K5" s="40" t="s">
        <v>63</v>
      </c>
      <c r="L5" s="41" t="s">
        <v>56</v>
      </c>
      <c r="M5" s="40" t="s">
        <v>64</v>
      </c>
      <c r="N5" s="34"/>
      <c r="O5" s="38"/>
      <c r="P5" s="38"/>
    </row>
    <row r="6" ht="30.0" customHeight="1">
      <c r="A6" s="35">
        <v>5.0</v>
      </c>
      <c r="B6" s="36" t="s">
        <v>58</v>
      </c>
      <c r="E6" s="38" t="s">
        <v>73</v>
      </c>
      <c r="F6" s="37" t="s">
        <v>74</v>
      </c>
      <c r="G6" s="38" t="s">
        <v>75</v>
      </c>
      <c r="H6" s="38" t="s">
        <v>76</v>
      </c>
      <c r="I6" s="38"/>
      <c r="J6" s="42"/>
      <c r="K6" s="40" t="s">
        <v>63</v>
      </c>
      <c r="L6" s="41" t="s">
        <v>56</v>
      </c>
      <c r="M6" s="40" t="s">
        <v>64</v>
      </c>
      <c r="N6" s="34"/>
      <c r="O6" s="38"/>
      <c r="P6" s="38"/>
    </row>
    <row r="7" ht="30.0" customHeight="1">
      <c r="A7" s="35">
        <v>6.0</v>
      </c>
      <c r="B7" s="36" t="s">
        <v>58</v>
      </c>
      <c r="E7" s="38" t="s">
        <v>77</v>
      </c>
      <c r="F7" s="37" t="s">
        <v>78</v>
      </c>
      <c r="G7" s="38" t="s">
        <v>79</v>
      </c>
      <c r="H7" s="38" t="s">
        <v>80</v>
      </c>
      <c r="I7" s="38"/>
      <c r="J7" s="42"/>
      <c r="K7" s="40" t="s">
        <v>81</v>
      </c>
      <c r="L7" s="41" t="s">
        <v>56</v>
      </c>
      <c r="M7" s="40" t="s">
        <v>64</v>
      </c>
      <c r="N7" s="34"/>
      <c r="O7" s="38"/>
      <c r="P7" s="38"/>
    </row>
    <row r="8" ht="30.0" customHeight="1">
      <c r="A8" s="35">
        <v>7.0</v>
      </c>
      <c r="B8" s="36"/>
      <c r="E8" s="38" t="s">
        <v>82</v>
      </c>
      <c r="F8" s="37" t="s">
        <v>51</v>
      </c>
      <c r="G8" s="38" t="s">
        <v>83</v>
      </c>
      <c r="H8" s="38" t="s">
        <v>84</v>
      </c>
      <c r="I8" s="38"/>
      <c r="J8" s="42"/>
      <c r="K8" s="43"/>
      <c r="L8" s="41" t="s">
        <v>56</v>
      </c>
      <c r="M8" s="40" t="s">
        <v>64</v>
      </c>
      <c r="N8" s="34"/>
      <c r="O8" s="38"/>
      <c r="P8" s="38"/>
    </row>
    <row r="9" ht="30.0" customHeight="1">
      <c r="A9" s="35">
        <v>8.0</v>
      </c>
      <c r="B9" s="36"/>
      <c r="C9" s="37">
        <v>3.0</v>
      </c>
      <c r="D9" s="38" t="s">
        <v>10</v>
      </c>
      <c r="E9" s="38" t="s">
        <v>85</v>
      </c>
      <c r="F9" s="37" t="s">
        <v>86</v>
      </c>
      <c r="G9" s="38" t="s">
        <v>87</v>
      </c>
      <c r="H9" s="38" t="s">
        <v>88</v>
      </c>
      <c r="I9" s="38"/>
      <c r="J9" s="42"/>
      <c r="K9" s="40" t="s">
        <v>55</v>
      </c>
      <c r="L9" s="41" t="s">
        <v>56</v>
      </c>
      <c r="M9" s="40" t="s">
        <v>64</v>
      </c>
      <c r="N9" s="34"/>
      <c r="O9" s="38"/>
      <c r="P9" s="38"/>
    </row>
    <row r="10" ht="30.0" customHeight="1">
      <c r="A10" s="35">
        <v>9.0</v>
      </c>
      <c r="B10" s="36"/>
      <c r="E10" s="38" t="s">
        <v>89</v>
      </c>
      <c r="F10" s="37" t="s">
        <v>90</v>
      </c>
      <c r="G10" s="38" t="s">
        <v>91</v>
      </c>
      <c r="H10" s="38" t="s">
        <v>92</v>
      </c>
      <c r="I10" s="38"/>
      <c r="J10" s="42"/>
      <c r="K10" s="40" t="s">
        <v>55</v>
      </c>
      <c r="L10" s="41" t="s">
        <v>56</v>
      </c>
      <c r="M10" s="40" t="s">
        <v>64</v>
      </c>
      <c r="N10" s="34"/>
      <c r="O10" s="38"/>
      <c r="P10" s="38"/>
    </row>
    <row r="11" ht="30.0" customHeight="1">
      <c r="A11" s="35">
        <v>10.0</v>
      </c>
      <c r="B11" s="36"/>
      <c r="E11" s="38" t="s">
        <v>93</v>
      </c>
      <c r="F11" s="37" t="s">
        <v>94</v>
      </c>
      <c r="G11" s="38" t="s">
        <v>95</v>
      </c>
      <c r="H11" s="38" t="s">
        <v>96</v>
      </c>
      <c r="I11" s="38"/>
      <c r="J11" s="42"/>
      <c r="K11" s="40" t="s">
        <v>63</v>
      </c>
      <c r="L11" s="41" t="s">
        <v>56</v>
      </c>
      <c r="M11" s="40" t="s">
        <v>64</v>
      </c>
      <c r="N11" s="34"/>
      <c r="O11" s="38"/>
      <c r="P11" s="38"/>
    </row>
    <row r="12" ht="30.0" customHeight="1">
      <c r="A12" s="35">
        <v>11.0</v>
      </c>
      <c r="B12" s="36"/>
      <c r="E12" s="38" t="s">
        <v>97</v>
      </c>
      <c r="F12" s="37" t="s">
        <v>98</v>
      </c>
      <c r="G12" s="38" t="s">
        <v>99</v>
      </c>
      <c r="H12" s="38" t="s">
        <v>100</v>
      </c>
      <c r="I12" s="38"/>
      <c r="J12" s="42"/>
      <c r="K12" s="40" t="s">
        <v>55</v>
      </c>
      <c r="L12" s="41" t="s">
        <v>56</v>
      </c>
      <c r="M12" s="40" t="s">
        <v>64</v>
      </c>
      <c r="N12" s="34"/>
      <c r="O12" s="38"/>
      <c r="P12" s="38"/>
    </row>
    <row r="13" ht="30.0" customHeight="1">
      <c r="A13" s="35">
        <v>12.0</v>
      </c>
      <c r="B13" s="36"/>
      <c r="E13" s="38" t="s">
        <v>101</v>
      </c>
      <c r="F13" s="37" t="s">
        <v>102</v>
      </c>
      <c r="G13" s="38" t="s">
        <v>103</v>
      </c>
      <c r="H13" s="38" t="s">
        <v>104</v>
      </c>
      <c r="I13" s="38"/>
      <c r="J13" s="42"/>
      <c r="K13" s="40" t="s">
        <v>63</v>
      </c>
      <c r="L13" s="41" t="s">
        <v>56</v>
      </c>
      <c r="M13" s="40" t="s">
        <v>64</v>
      </c>
      <c r="N13" s="34"/>
      <c r="O13" s="38"/>
      <c r="P13" s="38"/>
    </row>
    <row r="14" ht="30.0" customHeight="1">
      <c r="A14" s="35">
        <v>13.0</v>
      </c>
      <c r="B14" s="36"/>
      <c r="E14" s="38" t="s">
        <v>105</v>
      </c>
      <c r="F14" s="37" t="s">
        <v>106</v>
      </c>
      <c r="G14" s="38" t="s">
        <v>107</v>
      </c>
      <c r="H14" s="38" t="s">
        <v>108</v>
      </c>
      <c r="I14" s="38"/>
      <c r="J14" s="42"/>
      <c r="K14" s="40" t="s">
        <v>81</v>
      </c>
      <c r="L14" s="41" t="s">
        <v>56</v>
      </c>
      <c r="M14" s="40" t="s">
        <v>64</v>
      </c>
      <c r="N14" s="34"/>
      <c r="O14" s="38"/>
      <c r="P14" s="38"/>
    </row>
    <row r="15" ht="30.0" customHeight="1">
      <c r="A15" s="35">
        <v>14.0</v>
      </c>
      <c r="B15" s="36"/>
      <c r="E15" s="38" t="s">
        <v>109</v>
      </c>
      <c r="F15" s="37" t="s">
        <v>51</v>
      </c>
      <c r="G15" s="38" t="s">
        <v>110</v>
      </c>
      <c r="H15" s="38" t="s">
        <v>111</v>
      </c>
      <c r="I15" s="38"/>
      <c r="J15" s="42"/>
      <c r="K15" s="43"/>
      <c r="L15" s="41" t="s">
        <v>56</v>
      </c>
      <c r="M15" s="40" t="s">
        <v>64</v>
      </c>
      <c r="N15" s="34"/>
      <c r="O15" s="38"/>
      <c r="P15" s="38"/>
    </row>
    <row r="16" ht="30.0" customHeight="1">
      <c r="A16" s="35">
        <v>15.0</v>
      </c>
      <c r="B16" s="36"/>
      <c r="C16" s="37">
        <v>4.0</v>
      </c>
      <c r="D16" s="38" t="s">
        <v>12</v>
      </c>
      <c r="E16" s="38" t="s">
        <v>112</v>
      </c>
      <c r="F16" s="37" t="s">
        <v>113</v>
      </c>
      <c r="G16" s="38" t="s">
        <v>114</v>
      </c>
      <c r="H16" s="38" t="s">
        <v>115</v>
      </c>
      <c r="I16" s="38"/>
      <c r="J16" s="42"/>
      <c r="K16" s="40" t="s">
        <v>55</v>
      </c>
      <c r="L16" s="41" t="s">
        <v>56</v>
      </c>
      <c r="M16" s="40" t="s">
        <v>64</v>
      </c>
      <c r="N16" s="34"/>
      <c r="O16" s="38"/>
      <c r="P16" s="38"/>
    </row>
    <row r="17" ht="30.0" customHeight="1">
      <c r="A17" s="35">
        <v>16.0</v>
      </c>
      <c r="B17" s="36"/>
      <c r="E17" s="38" t="s">
        <v>116</v>
      </c>
      <c r="F17" s="37" t="s">
        <v>117</v>
      </c>
      <c r="G17" s="38" t="s">
        <v>118</v>
      </c>
      <c r="H17" s="38" t="s">
        <v>119</v>
      </c>
      <c r="I17" s="38"/>
      <c r="J17" s="42"/>
      <c r="K17" s="40" t="s">
        <v>63</v>
      </c>
      <c r="L17" s="41" t="s">
        <v>56</v>
      </c>
      <c r="M17" s="40" t="s">
        <v>64</v>
      </c>
      <c r="N17" s="34"/>
      <c r="O17" s="38"/>
      <c r="P17" s="38"/>
    </row>
    <row r="18" ht="30.0" customHeight="1">
      <c r="A18" s="35">
        <v>17.0</v>
      </c>
      <c r="B18" s="36"/>
      <c r="E18" s="38" t="s">
        <v>120</v>
      </c>
      <c r="F18" s="37" t="s">
        <v>121</v>
      </c>
      <c r="G18" s="38" t="s">
        <v>122</v>
      </c>
      <c r="H18" s="38" t="s">
        <v>123</v>
      </c>
      <c r="I18" s="38"/>
      <c r="J18" s="42"/>
      <c r="K18" s="40" t="s">
        <v>63</v>
      </c>
      <c r="L18" s="41" t="s">
        <v>56</v>
      </c>
      <c r="M18" s="40" t="s">
        <v>64</v>
      </c>
      <c r="N18" s="34"/>
      <c r="O18" s="38"/>
      <c r="P18" s="38"/>
    </row>
    <row r="19" ht="30.0" customHeight="1">
      <c r="A19" s="35">
        <v>18.0</v>
      </c>
      <c r="B19" s="36"/>
      <c r="E19" s="38" t="s">
        <v>124</v>
      </c>
      <c r="F19" s="37" t="s">
        <v>51</v>
      </c>
      <c r="G19" s="38" t="s">
        <v>125</v>
      </c>
      <c r="H19" s="38" t="s">
        <v>126</v>
      </c>
      <c r="I19" s="38"/>
      <c r="J19" s="42"/>
      <c r="K19" s="43"/>
      <c r="L19" s="41" t="s">
        <v>56</v>
      </c>
      <c r="M19" s="40" t="s">
        <v>64</v>
      </c>
      <c r="N19" s="34"/>
      <c r="O19" s="38"/>
      <c r="P19" s="38"/>
    </row>
    <row r="20" ht="30.0" customHeight="1">
      <c r="A20" s="35">
        <v>19.0</v>
      </c>
      <c r="B20" s="36"/>
      <c r="C20" s="37">
        <v>5.0</v>
      </c>
      <c r="D20" s="38" t="s">
        <v>13</v>
      </c>
      <c r="E20" s="38" t="s">
        <v>127</v>
      </c>
      <c r="F20" s="37" t="s">
        <v>128</v>
      </c>
      <c r="G20" s="38" t="s">
        <v>129</v>
      </c>
      <c r="H20" s="38" t="s">
        <v>130</v>
      </c>
      <c r="I20" s="38"/>
      <c r="J20" s="42"/>
      <c r="K20" s="40" t="s">
        <v>81</v>
      </c>
      <c r="L20" s="41" t="s">
        <v>56</v>
      </c>
      <c r="M20" s="40" t="s">
        <v>64</v>
      </c>
      <c r="N20" s="34"/>
      <c r="O20" s="38"/>
      <c r="P20" s="38"/>
    </row>
    <row r="21" ht="30.0" customHeight="1">
      <c r="A21" s="35">
        <v>20.0</v>
      </c>
      <c r="B21" s="36"/>
      <c r="E21" s="38" t="s">
        <v>131</v>
      </c>
      <c r="F21" s="37" t="s">
        <v>132</v>
      </c>
      <c r="G21" s="38" t="s">
        <v>133</v>
      </c>
      <c r="H21" s="38" t="s">
        <v>134</v>
      </c>
      <c r="I21" s="38"/>
      <c r="J21" s="42"/>
      <c r="K21" s="40" t="s">
        <v>81</v>
      </c>
      <c r="L21" s="41" t="s">
        <v>56</v>
      </c>
      <c r="M21" s="40" t="s">
        <v>64</v>
      </c>
      <c r="N21" s="34"/>
      <c r="O21" s="38"/>
      <c r="P21" s="38"/>
    </row>
    <row r="22" ht="30.0" customHeight="1">
      <c r="A22" s="35">
        <v>21.0</v>
      </c>
      <c r="B22" s="36"/>
      <c r="E22" s="38" t="s">
        <v>135</v>
      </c>
      <c r="F22" s="37" t="s">
        <v>51</v>
      </c>
      <c r="G22" s="38" t="s">
        <v>136</v>
      </c>
      <c r="H22" s="38" t="s">
        <v>137</v>
      </c>
      <c r="I22" s="38"/>
      <c r="J22" s="42"/>
      <c r="K22" s="43"/>
      <c r="L22" s="41" t="s">
        <v>56</v>
      </c>
      <c r="M22" s="40" t="s">
        <v>64</v>
      </c>
      <c r="N22" s="34"/>
      <c r="O22" s="38"/>
      <c r="P22" s="38"/>
    </row>
    <row r="23" ht="30.0" customHeight="1">
      <c r="A23" s="35">
        <v>22.0</v>
      </c>
      <c r="B23" s="36"/>
      <c r="C23" s="37">
        <v>6.0</v>
      </c>
      <c r="D23" s="38" t="s">
        <v>14</v>
      </c>
      <c r="E23" s="38" t="s">
        <v>138</v>
      </c>
      <c r="F23" s="37" t="s">
        <v>139</v>
      </c>
      <c r="G23" s="38" t="s">
        <v>140</v>
      </c>
      <c r="H23" s="38" t="s">
        <v>141</v>
      </c>
      <c r="I23" s="38"/>
      <c r="J23" s="42"/>
      <c r="K23" s="40" t="s">
        <v>55</v>
      </c>
      <c r="L23" s="41" t="s">
        <v>56</v>
      </c>
      <c r="M23" s="40" t="s">
        <v>64</v>
      </c>
      <c r="N23" s="34"/>
      <c r="O23" s="38"/>
      <c r="P23" s="38"/>
    </row>
    <row r="24" ht="30.0" customHeight="1">
      <c r="A24" s="35">
        <v>23.0</v>
      </c>
      <c r="B24" s="36"/>
      <c r="E24" s="38" t="s">
        <v>142</v>
      </c>
      <c r="F24" s="37" t="s">
        <v>143</v>
      </c>
      <c r="G24" s="38" t="s">
        <v>144</v>
      </c>
      <c r="H24" s="38" t="s">
        <v>145</v>
      </c>
      <c r="I24" s="38"/>
      <c r="J24" s="42"/>
      <c r="K24" s="40" t="s">
        <v>55</v>
      </c>
      <c r="L24" s="41" t="s">
        <v>56</v>
      </c>
      <c r="M24" s="40" t="s">
        <v>64</v>
      </c>
      <c r="N24" s="34"/>
      <c r="O24" s="38"/>
      <c r="P24" s="38"/>
    </row>
    <row r="25" ht="30.0" customHeight="1">
      <c r="A25" s="35">
        <v>24.0</v>
      </c>
      <c r="B25" s="36"/>
      <c r="E25" s="38" t="s">
        <v>146</v>
      </c>
      <c r="F25" s="37" t="s">
        <v>147</v>
      </c>
      <c r="G25" s="38" t="s">
        <v>148</v>
      </c>
      <c r="H25" s="38" t="s">
        <v>149</v>
      </c>
      <c r="I25" s="38"/>
      <c r="J25" s="42"/>
      <c r="K25" s="40" t="s">
        <v>63</v>
      </c>
      <c r="L25" s="41" t="s">
        <v>56</v>
      </c>
      <c r="M25" s="40" t="s">
        <v>64</v>
      </c>
      <c r="N25" s="34"/>
      <c r="O25" s="38"/>
      <c r="P25" s="38"/>
    </row>
    <row r="26" ht="30.0" customHeight="1">
      <c r="A26" s="35">
        <v>25.0</v>
      </c>
      <c r="B26" s="36"/>
      <c r="E26" s="38" t="s">
        <v>150</v>
      </c>
      <c r="F26" s="37" t="s">
        <v>51</v>
      </c>
      <c r="G26" s="38" t="s">
        <v>151</v>
      </c>
      <c r="H26" s="38" t="s">
        <v>152</v>
      </c>
      <c r="I26" s="38"/>
      <c r="J26" s="42"/>
      <c r="K26" s="43"/>
      <c r="L26" s="41" t="s">
        <v>56</v>
      </c>
      <c r="M26" s="40" t="s">
        <v>64</v>
      </c>
      <c r="N26" s="34"/>
      <c r="O26" s="38"/>
      <c r="P26" s="38"/>
    </row>
    <row r="27" ht="30.0" customHeight="1">
      <c r="A27" s="35">
        <v>26.0</v>
      </c>
      <c r="B27" s="36"/>
      <c r="C27" s="37">
        <v>7.0</v>
      </c>
      <c r="D27" s="38" t="s">
        <v>153</v>
      </c>
      <c r="E27" s="38" t="s">
        <v>154</v>
      </c>
      <c r="F27" s="37" t="s">
        <v>155</v>
      </c>
      <c r="G27" s="38" t="s">
        <v>156</v>
      </c>
      <c r="H27" s="38" t="s">
        <v>157</v>
      </c>
      <c r="I27" s="38"/>
      <c r="J27" s="42"/>
      <c r="K27" s="43"/>
      <c r="L27" s="41" t="s">
        <v>56</v>
      </c>
      <c r="M27" s="40" t="s">
        <v>64</v>
      </c>
      <c r="N27" s="34"/>
      <c r="O27" s="38"/>
      <c r="P27" s="38"/>
    </row>
    <row r="28" ht="30.0" customHeight="1">
      <c r="A28" s="35">
        <v>27.0</v>
      </c>
      <c r="B28" s="36"/>
      <c r="C28" s="37">
        <v>8.0</v>
      </c>
      <c r="D28" s="38" t="s">
        <v>158</v>
      </c>
      <c r="E28" s="38" t="s">
        <v>159</v>
      </c>
      <c r="F28" s="37" t="s">
        <v>155</v>
      </c>
      <c r="G28" s="38" t="s">
        <v>160</v>
      </c>
      <c r="H28" s="38" t="s">
        <v>161</v>
      </c>
      <c r="I28" s="38"/>
      <c r="J28" s="42"/>
      <c r="K28" s="43"/>
      <c r="L28" s="41" t="s">
        <v>56</v>
      </c>
      <c r="M28" s="40" t="s">
        <v>64</v>
      </c>
      <c r="N28" s="34"/>
      <c r="O28" s="38"/>
      <c r="P28" s="38"/>
    </row>
    <row r="29" ht="30.0" customHeight="1">
      <c r="A29" s="35">
        <v>28.0</v>
      </c>
      <c r="B29" s="36"/>
      <c r="C29" s="37">
        <v>9.0</v>
      </c>
      <c r="D29" s="38" t="s">
        <v>162</v>
      </c>
      <c r="E29" s="38" t="s">
        <v>163</v>
      </c>
      <c r="F29" s="37" t="s">
        <v>155</v>
      </c>
      <c r="G29" s="38" t="s">
        <v>164</v>
      </c>
      <c r="H29" s="38" t="s">
        <v>165</v>
      </c>
      <c r="I29" s="38"/>
      <c r="J29" s="44"/>
      <c r="K29" s="43"/>
      <c r="L29" s="41" t="s">
        <v>56</v>
      </c>
      <c r="M29" s="40" t="s">
        <v>64</v>
      </c>
      <c r="N29" s="34"/>
      <c r="O29" s="38"/>
      <c r="P29" s="38"/>
    </row>
    <row r="30" ht="30.0" customHeight="1">
      <c r="A30" s="45"/>
      <c r="B30" s="46"/>
      <c r="C30" s="47"/>
      <c r="D30" s="48"/>
      <c r="E30" s="48"/>
      <c r="F30" s="47"/>
      <c r="G30" s="48"/>
      <c r="H30" s="49"/>
      <c r="I30" s="49"/>
      <c r="J30" s="44"/>
      <c r="K30" s="47"/>
      <c r="L30" s="50"/>
      <c r="M30" s="47"/>
      <c r="N30" s="34"/>
      <c r="O30" s="49"/>
      <c r="P30" s="49"/>
    </row>
    <row r="31" ht="30.0" customHeight="1">
      <c r="A31" s="45"/>
      <c r="B31" s="46"/>
      <c r="C31" s="47"/>
      <c r="D31" s="48"/>
      <c r="E31" s="48"/>
      <c r="F31" s="47"/>
      <c r="G31" s="48"/>
      <c r="H31" s="49"/>
      <c r="I31" s="49"/>
      <c r="J31" s="44"/>
      <c r="K31" s="47"/>
      <c r="L31" s="50"/>
      <c r="M31" s="47"/>
      <c r="N31" s="34"/>
      <c r="O31" s="49"/>
      <c r="P31" s="49"/>
    </row>
  </sheetData>
  <mergeCells count="10">
    <mergeCell ref="C20:C22"/>
    <mergeCell ref="C23:C26"/>
    <mergeCell ref="D23:D26"/>
    <mergeCell ref="C3:C8"/>
    <mergeCell ref="D3:D8"/>
    <mergeCell ref="C9:C15"/>
    <mergeCell ref="D9:D15"/>
    <mergeCell ref="C16:C19"/>
    <mergeCell ref="D16:D19"/>
    <mergeCell ref="D20:D22"/>
  </mergeCells>
  <dataValidations>
    <dataValidation type="list" allowBlank="1" showErrorMessage="1" sqref="B2:B29">
      <formula1>"Sprint 1 | Feb 1-7,Sprint 2 | Feb 8 – Feb 14,Sprint 3 | Feb 15 – Feb 21,Sprint 4 | Feb 22 – Feb 28,Sprint 5 | Mar 1 – Mar 7,Sprint 6 | Mar 8 – Mar 14,Sprint 7 | Mar 15 – Mar 21"</formula1>
    </dataValidation>
    <dataValidation type="list" allowBlank="1" showErrorMessage="1" sqref="M2">
      <formula1>"NOT STARTED,IN PROGRESS,COMPLETED"</formula1>
    </dataValidation>
    <dataValidation type="list" allowBlank="1" showErrorMessage="1" sqref="M3:M29">
      <formula1>"Not started,In Progress,Completed"</formula1>
    </dataValidation>
    <dataValidation type="list" allowBlank="1" showErrorMessage="1" sqref="K2:K29">
      <formula1>"LOW,MEDIUM,HIGH"</formula1>
    </dataValidation>
    <dataValidation type="list" allowBlank="1" showErrorMessage="1" sqref="L2:L29">
      <formula1>"Frankie Pinat,Lyca Gutierrez"</formula1>
    </dataValidation>
  </dataValidations>
  <hyperlinks>
    <hyperlink r:id="rId1" ref="J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/>
      <c r="B1" s="52" t="s">
        <v>166</v>
      </c>
      <c r="C1" s="53"/>
      <c r="D1" s="53"/>
      <c r="E1" s="53"/>
      <c r="F1" s="53"/>
      <c r="G1" s="53"/>
      <c r="H1" s="53"/>
      <c r="I1" s="54"/>
      <c r="J1" s="51"/>
    </row>
    <row r="2">
      <c r="A2" s="51"/>
      <c r="B2" s="55"/>
      <c r="I2" s="56"/>
      <c r="J2" s="51"/>
    </row>
    <row r="3">
      <c r="A3" s="57"/>
      <c r="B3" s="58" t="s">
        <v>167</v>
      </c>
      <c r="C3" s="58" t="s">
        <v>168</v>
      </c>
      <c r="D3" s="59" t="s">
        <v>169</v>
      </c>
      <c r="E3" s="60"/>
      <c r="F3" s="59" t="s">
        <v>170</v>
      </c>
      <c r="G3" s="60"/>
      <c r="H3" s="59" t="s">
        <v>171</v>
      </c>
      <c r="I3" s="60"/>
      <c r="J3" s="61"/>
    </row>
    <row r="4">
      <c r="A4" s="57"/>
      <c r="B4" s="62" t="s">
        <v>172</v>
      </c>
      <c r="C4" s="63" t="s">
        <v>173</v>
      </c>
      <c r="D4" s="64" t="s">
        <v>174</v>
      </c>
      <c r="E4" s="65"/>
      <c r="F4" s="64" t="s">
        <v>175</v>
      </c>
      <c r="G4" s="65"/>
      <c r="H4" s="64">
        <v>9.164470151E9</v>
      </c>
      <c r="I4" s="65"/>
      <c r="J4" s="61"/>
    </row>
    <row r="5">
      <c r="A5" s="57"/>
      <c r="B5" s="66" t="s">
        <v>176</v>
      </c>
      <c r="C5" s="67" t="s">
        <v>177</v>
      </c>
      <c r="D5" s="64" t="s">
        <v>178</v>
      </c>
      <c r="E5" s="65"/>
      <c r="F5" s="64" t="s">
        <v>179</v>
      </c>
      <c r="G5" s="65"/>
      <c r="H5" s="64">
        <v>9.777004003E9</v>
      </c>
      <c r="I5" s="65"/>
      <c r="J5" s="61"/>
    </row>
    <row r="6">
      <c r="A6" s="57"/>
      <c r="B6" s="68"/>
      <c r="C6" s="69"/>
      <c r="D6" s="70"/>
      <c r="E6" s="65"/>
      <c r="F6" s="70"/>
      <c r="G6" s="65"/>
      <c r="H6" s="70"/>
      <c r="I6" s="65"/>
      <c r="J6" s="61"/>
    </row>
    <row r="7">
      <c r="A7" s="57"/>
      <c r="B7" s="71"/>
      <c r="C7" s="72"/>
      <c r="D7" s="70"/>
      <c r="E7" s="65"/>
      <c r="F7" s="70"/>
      <c r="G7" s="65"/>
      <c r="H7" s="70"/>
      <c r="I7" s="65"/>
      <c r="J7" s="61"/>
    </row>
    <row r="8">
      <c r="A8" s="51"/>
      <c r="B8" s="73" t="s">
        <v>180</v>
      </c>
      <c r="F8" s="74"/>
      <c r="G8" s="73" t="s">
        <v>181</v>
      </c>
      <c r="J8" s="51"/>
    </row>
    <row r="9">
      <c r="A9" s="51"/>
      <c r="B9" s="55"/>
      <c r="F9" s="51"/>
      <c r="G9" s="55"/>
      <c r="J9" s="51"/>
    </row>
    <row r="10">
      <c r="A10" s="51"/>
      <c r="B10" s="75" t="s">
        <v>182</v>
      </c>
      <c r="F10" s="76"/>
      <c r="G10" s="77" t="s">
        <v>183</v>
      </c>
      <c r="J10" s="51"/>
    </row>
    <row r="11">
      <c r="A11" s="51"/>
      <c r="F11" s="76"/>
      <c r="G11" s="76"/>
      <c r="H11" s="76"/>
      <c r="I11" s="76"/>
      <c r="J11" s="51"/>
    </row>
    <row r="12">
      <c r="A12" s="51"/>
      <c r="F12" s="76"/>
      <c r="G12" s="77" t="s">
        <v>184</v>
      </c>
      <c r="J12" s="51"/>
    </row>
    <row r="13">
      <c r="A13" s="51"/>
      <c r="F13" s="76"/>
      <c r="G13" s="76"/>
      <c r="H13" s="76"/>
      <c r="I13" s="76"/>
      <c r="J13" s="57"/>
    </row>
    <row r="14">
      <c r="A14" s="51"/>
      <c r="F14" s="76"/>
      <c r="G14" s="77" t="s">
        <v>185</v>
      </c>
      <c r="J14" s="51"/>
    </row>
    <row r="15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>
      <c r="A17" s="51"/>
      <c r="B17" s="51"/>
      <c r="C17" s="51"/>
      <c r="D17" s="51"/>
      <c r="E17" s="51"/>
      <c r="F17" s="51"/>
      <c r="G17" s="51"/>
      <c r="H17" s="51"/>
      <c r="I17" s="51"/>
      <c r="J17" s="51"/>
    </row>
  </sheetData>
  <mergeCells count="22">
    <mergeCell ref="B1:I2"/>
    <mergeCell ref="D3:E3"/>
    <mergeCell ref="F3:G3"/>
    <mergeCell ref="H3:I3"/>
    <mergeCell ref="D4:E4"/>
    <mergeCell ref="F4:G4"/>
    <mergeCell ref="H4:I4"/>
    <mergeCell ref="F7:G7"/>
    <mergeCell ref="H7:I7"/>
    <mergeCell ref="B8:E9"/>
    <mergeCell ref="G8:I9"/>
    <mergeCell ref="B10:E14"/>
    <mergeCell ref="G10:I10"/>
    <mergeCell ref="G12:I12"/>
    <mergeCell ref="G14:I14"/>
    <mergeCell ref="D5:E5"/>
    <mergeCell ref="F5:G5"/>
    <mergeCell ref="H5:I5"/>
    <mergeCell ref="D6:E6"/>
    <mergeCell ref="F6:G6"/>
    <mergeCell ref="H6:I6"/>
    <mergeCell ref="D7:E7"/>
  </mergeCells>
  <drawing r:id="rId1"/>
</worksheet>
</file>