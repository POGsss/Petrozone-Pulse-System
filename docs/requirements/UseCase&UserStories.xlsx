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14.xml"/>
  <Override ContentType="application/vnd.openxmlformats-officedocument.drawingml.chart+xml" PartName="/xl/charts/chart18.xml"/>
  <Override ContentType="application/vnd.openxmlformats-officedocument.drawingml.chart+xml" PartName="/xl/charts/chart13.xml"/>
  <Override ContentType="application/vnd.openxmlformats-officedocument.drawingml.chart+xml" PartName="/xl/charts/chart4.xml"/>
  <Override ContentType="application/vnd.openxmlformats-officedocument.drawingml.chart+xml" PartName="/xl/charts/chart20.xml"/>
  <Override ContentType="application/vnd.openxmlformats-officedocument.drawingml.chart+xml" PartName="/xl/charts/chart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8.xml"/>
  <Override ContentType="application/vnd.openxmlformats-officedocument.drawingml.chart+xml" PartName="/xl/charts/chart15.xml"/>
  <Override ContentType="application/vnd.openxmlformats-officedocument.drawingml.chart+xml" PartName="/xl/charts/chart17.xml"/>
  <Override ContentType="application/vnd.openxmlformats-officedocument.drawingml.chart+xml" PartName="/xl/charts/chart9.xml"/>
  <Override ContentType="application/vnd.openxmlformats-officedocument.drawingml.chart+xml" PartName="/xl/charts/chart19.xml"/>
  <Override ContentType="application/vnd.openxmlformats-officedocument.drawingml.chart+xml" PartName="/xl/charts/chart12.xml"/>
  <Override ContentType="application/vnd.openxmlformats-officedocument.drawingml.chart+xml" PartName="/xl/charts/chart5.xml"/>
  <Override ContentType="application/vnd.openxmlformats-officedocument.drawingml.chart+xml" PartName="/xl/charts/chart21.xml"/>
  <Override ContentType="application/vnd.openxmlformats-officedocument.drawingml.chart+xml" PartName="/xl/charts/chart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5"/>
    <sheet state="visible" name="Directory" sheetId="2" r:id="rId6"/>
    <sheet state="visible" name="Sprints" sheetId="3" r:id="rId7"/>
    <sheet state="visible" name="UCUS" sheetId="4" r:id="rId8"/>
    <sheet state="visible" name="Test Case Inventory" sheetId="5" r:id="rId9"/>
    <sheet state="visible" name="01-Core Architecture" sheetId="6" r:id="rId10"/>
    <sheet state="visible" name="02-Order Fulfillment" sheetId="7" r:id="rId11"/>
    <sheet state="visible" name="03-Inventory" sheetId="8" r:id="rId12"/>
    <sheet state="visible" name="04-Customer Management" sheetId="9" r:id="rId13"/>
    <sheet state="visible" name="05-Reporting &amp; Analytics" sheetId="10" r:id="rId14"/>
    <sheet state="visible" name="Integration &amp; Final UAT" sheetId="11" r:id="rId15"/>
    <sheet state="hidden" name="EXAMPLE - Agile Test Report" sheetId="12" r:id="rId16"/>
    <sheet state="hidden" name="Dropdown Keys" sheetId="13" r:id="rId17"/>
  </sheets>
  <definedNames>
    <definedName name="Priority">#REF!</definedName>
    <definedName name="YesNo">'Dropdown Keys'!$B$5:$B$6</definedName>
    <definedName name="Status">'Dropdown Keys'!$F$3:$F$5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tc={3f06ac7e-95ff-4d25-84f8-9a0ea3bbe5ed}</author>
    <author>tc={5baceebe-4d98-4b6c-ad23-59cbb3fb99a7}</author>
  </authors>
  <commentList>
    <comment authorId="0" ref="D1">
      <text>
        <t xml:space="preserve">LEGEND:
HM- Higher Management (Admin, BM, EXEC)
POC - POC Supervisor (BM, EXEC)
JS - Junior Supervisor  (BM)
R - Receptionist (INV, Service)
T - Technician (Service)</t>
      </text>
    </comment>
    <comment authorId="1" xr:uid="{3f06ac7e-95ff-4d25-84f8-9a0ea3bbe5ed}" ref="J1">
      <text>
        <t xml:space="preserve">[Threaded comment]
 Your version of Excel allows you to read this threaded comment; however, any edits to it will get removed if the file is opened in a newer version of Excel. Learn more: https://go.microsoft.com/fwlink/?linkid=870924
Comment:
	next task: just mapping the uc/us to the fr/nrfs
</t>
      </text>
    </comment>
    <comment authorId="2" xr:uid="{5baceebe-4d98-4b6c-ad23-59cbb3fb99a7}" ref="J8">
      <text>
        <t xml:space="preserve">[Threaded comment]
 Your version of Excel allows you to read this threaded comment; however, any edits to it will get removed if the file is opened in a newer version of Excel. Learn more: https://go.microsoft.com/fwlink/?linkid=870924
Comment:
	not sure if falls to fr-7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tc={666ed7d7-52ec-489f-8d41-0962d912f49d}</author>
  </authors>
  <commentList>
    <comment authorId="0" xr:uid="{666ed7d7-52ec-489f-8d41-0962d912f49d}" ref="B62">
      <text>
        <t xml:space="preserve">[Threaded comment]
 Your version of Excel allows you to read this threaded comment; however, any edits to it will get removed if the file is opened in a newer version of Excel. Learn more: https://go.microsoft.com/fwlink/?linkid=870924
Comment:
	TO DO: Align test cases to acceptance criteria per module
</t>
      </text>
    </comment>
  </commentList>
</comments>
</file>

<file path=xl/sharedStrings.xml><?xml version="1.0" encoding="utf-8"?>
<sst xmlns="http://schemas.openxmlformats.org/spreadsheetml/2006/main" count="2004" uniqueCount="995">
  <si>
    <t>DIRECTORY</t>
  </si>
  <si>
    <t>Name</t>
  </si>
  <si>
    <t>Nickname</t>
  </si>
  <si>
    <t>Primary</t>
  </si>
  <si>
    <t>Lark Email</t>
  </si>
  <si>
    <t>Phone Number</t>
  </si>
  <si>
    <t>Keoni Dylim</t>
  </si>
  <si>
    <t>Keoni</t>
  </si>
  <si>
    <t>john.dylim@student.ateneo.edu</t>
  </si>
  <si>
    <t>keonidyl@gmail.com</t>
  </si>
  <si>
    <t>Luis Madrid</t>
  </si>
  <si>
    <t>Luis</t>
  </si>
  <si>
    <t>luis.c.madrid@student.ateneo.edu</t>
  </si>
  <si>
    <t>luiscabmadrid@gmail.com</t>
  </si>
  <si>
    <t>Sprint Overview</t>
  </si>
  <si>
    <t>Sprint Planning</t>
  </si>
  <si>
    <r>
      <rPr>
        <rFont val="Karla"/>
        <b/>
        <color theme="1"/>
        <sz val="14.0"/>
      </rPr>
      <t>What a Sprint Is</t>
    </r>
    <r>
      <rPr>
        <rFont val="Karla"/>
        <color theme="1"/>
        <sz val="14.0"/>
      </rPr>
      <t xml:space="preserve">
</t>
    </r>
    <r>
      <rPr>
        <rFont val="Karla"/>
        <i/>
        <color theme="1"/>
        <sz val="14.0"/>
      </rPr>
      <t>A sprint is a fixed, short work cycle (usually 1 week in your case).</t>
    </r>
    <r>
      <rPr>
        <rFont val="Karla"/>
        <color theme="1"/>
        <sz val="14.0"/>
      </rPr>
      <t xml:space="preserve">
(Each sprint delivers a usable, testable increment of the system.)
</t>
    </r>
    <r>
      <rPr>
        <rFont val="Karla"/>
        <color theme="1"/>
        <sz val="14.0"/>
        <u/>
      </rPr>
      <t>How Sprints Fit the Project</t>
    </r>
    <r>
      <rPr>
        <rFont val="Karla"/>
        <color theme="1"/>
        <sz val="14.0"/>
      </rPr>
      <t xml:space="preserve">
The overall timeline defines phases and priorities.
Each sprint selects a small subset of components/tasks from the backlog.
Scope is locked once the sprint starts; (</t>
    </r>
    <r>
      <rPr>
        <rFont val="Karla"/>
        <i/>
        <color theme="1"/>
        <sz val="14.0"/>
      </rPr>
      <t>unfinished work rolls into the next sprint.)</t>
    </r>
    <r>
      <rPr>
        <rFont val="Karla"/>
        <color theme="1"/>
        <sz val="14.0"/>
      </rPr>
      <t xml:space="preserve">
— What Comes Out of Every Sprint
— Completed features or components
—Updated sprint document
— Feedback for improvement (process + product)</t>
    </r>
  </si>
  <si>
    <r>
      <rPr>
        <rFont val="Karla"/>
        <b/>
        <color theme="1"/>
      </rPr>
      <t>1. Sprint Planning Meeting</t>
    </r>
    <r>
      <rPr>
        <rFont val="Karla"/>
        <color theme="1"/>
      </rPr>
      <t xml:space="preserve">
When: Weekly sprint meet
</t>
    </r>
    <r>
      <rPr>
        <rFont val="Karla"/>
        <color theme="1"/>
        <u/>
      </rPr>
      <t>Agenda</t>
    </r>
    <r>
      <rPr>
        <rFont val="Karla"/>
        <color theme="1"/>
      </rPr>
      <t xml:space="preserve">
a. Review project priorities &amp; timeline
b. Define the sprint goal
c. Select tasks/components for the sprint
d. Assign owners &amp; confirm feasibility
e. Finalize sprint document
</t>
    </r>
    <r>
      <rPr>
        <rFont val="Karla"/>
        <color theme="1"/>
        <u/>
      </rPr>
      <t>Output</t>
    </r>
    <r>
      <rPr>
        <rFont val="Karla"/>
        <color theme="1"/>
      </rPr>
      <t xml:space="preserve">
- Accepted or revised features
- Feedback for next sprint</t>
    </r>
  </si>
  <si>
    <r>
      <rPr>
        <rFont val="Karla"/>
        <b/>
        <color theme="1"/>
      </rPr>
      <t>2. Sprint Review (Demo)</t>
    </r>
    <r>
      <rPr>
        <rFont val="Karla"/>
        <color theme="1"/>
      </rPr>
      <t xml:space="preserve">
When: Weekly sprint meet
</t>
    </r>
    <r>
      <rPr>
        <rFont val="Karla"/>
        <color theme="1"/>
        <u/>
      </rPr>
      <t>Agenda</t>
    </r>
    <r>
      <rPr>
        <rFont val="Karla"/>
        <color theme="1"/>
      </rPr>
      <t xml:space="preserve">
Demo completed features
Review sprint goal vs actual output
Collect feedback
Confirm accepted work
</t>
    </r>
    <r>
      <rPr>
        <rFont val="Karla"/>
        <color theme="1"/>
        <u/>
      </rPr>
      <t>Output</t>
    </r>
    <r>
      <rPr>
        <rFont val="Karla"/>
        <color theme="1"/>
      </rPr>
      <t xml:space="preserve">
- Accepted or revised features
- Feedback for next sprint</t>
    </r>
  </si>
  <si>
    <r>
      <rPr>
        <rFont val="Karla"/>
        <b/>
        <color theme="1"/>
      </rPr>
      <t>3. Stand-Up Meetings</t>
    </r>
    <r>
      <rPr>
        <rFont val="Karla"/>
        <color theme="1"/>
      </rPr>
      <t xml:space="preserve">
When: Daily or 2–3× a week (5–10 mins)
</t>
    </r>
    <r>
      <rPr>
        <rFont val="Karla"/>
        <color theme="1"/>
        <u/>
      </rPr>
      <t>Agenda</t>
    </r>
    <r>
      <rPr>
        <rFont val="Karla"/>
        <color theme="1"/>
      </rPr>
      <t xml:space="preserve">
a. What did I complete?
b. What will I work on next?
c. Any blockers?
</t>
    </r>
    <r>
      <rPr>
        <rFont val="Karla"/>
        <color theme="1"/>
        <u/>
      </rPr>
      <t>Output</t>
    </r>
    <r>
      <rPr>
        <rFont val="Karla"/>
        <color theme="1"/>
      </rPr>
      <t xml:space="preserve">
- Updated task status
- Blockers identified early</t>
    </r>
  </si>
  <si>
    <t>MILESTONE TRACKER</t>
  </si>
  <si>
    <t>Module Name</t>
  </si>
  <si>
    <t>Soft Deadline</t>
  </si>
  <si>
    <t>Days Left</t>
  </si>
  <si>
    <t>Status</t>
  </si>
  <si>
    <t>Deliverable Link</t>
  </si>
  <si>
    <t>Development, Env Setup, &amp; Testing</t>
  </si>
  <si>
    <t>Done</t>
  </si>
  <si>
    <t>Core Architecture Module</t>
  </si>
  <si>
    <t>Doing</t>
  </si>
  <si>
    <t>Order Fulfillment Module</t>
  </si>
  <si>
    <t>Not Started</t>
  </si>
  <si>
    <t>Inventory Module</t>
  </si>
  <si>
    <t>Customer Management Module</t>
  </si>
  <si>
    <t>Reporting &amp; Analytics Module</t>
  </si>
  <si>
    <t>SLIDE DECK LINKS</t>
  </si>
  <si>
    <t>Event Name</t>
  </si>
  <si>
    <t>Date Presented</t>
  </si>
  <si>
    <t>Link</t>
  </si>
  <si>
    <t>Minutes File*</t>
  </si>
  <si>
    <t>[5Byte x SPM] Jumpstart Dev Alignment</t>
  </si>
  <si>
    <r>
      <rPr>
        <rFont val="Arial"/>
        <color rgb="FF1155CC"/>
        <u/>
      </rPr>
      <t>https://www.canva.com/design/DAHAPXrpGws/ho4AtDiaoLu7CXx6K7bywA/edit</t>
    </r>
  </si>
  <si>
    <t>[5Byte x SPM] Mastersheet Briefing Alignment</t>
  </si>
  <si>
    <t>https://www.canva.com/design/DAHAbsBReKc/K7DVozPNN19m-SQVCU_dng/edit</t>
  </si>
  <si>
    <t>DOCUMENT LINKS</t>
  </si>
  <si>
    <t>Document Name</t>
  </si>
  <si>
    <t>Key Contents / Remarks</t>
  </si>
  <si>
    <t>Petrozone BPMN Assessment</t>
  </si>
  <si>
    <t>[5Byte x SPM] Client Documentation</t>
  </si>
  <si>
    <t>Working</t>
  </si>
  <si>
    <t>Gap Analysis, Current process flows</t>
  </si>
  <si>
    <t>5Byte Use Case Diagrams</t>
  </si>
  <si>
    <t>Modular Requirements</t>
  </si>
  <si>
    <t>5Byte User Stories</t>
  </si>
  <si>
    <t>Sprint Documentation/Tracker</t>
  </si>
  <si>
    <t>[5Byte X SPM] Masterfile</t>
  </si>
  <si>
    <t>ID</t>
  </si>
  <si>
    <t>Sprint</t>
  </si>
  <si>
    <t>WBS</t>
  </si>
  <si>
    <t>WBS Task / Module</t>
  </si>
  <si>
    <t>Components Included (from WBS)</t>
  </si>
  <si>
    <t>FR No.</t>
  </si>
  <si>
    <t>Functional Requirement Supported</t>
  </si>
  <si>
    <t>Component</t>
  </si>
  <si>
    <t>Resources</t>
  </si>
  <si>
    <t>Notes</t>
  </si>
  <si>
    <t>Priority</t>
  </si>
  <si>
    <t>Developers</t>
  </si>
  <si>
    <t>Related Use Case</t>
  </si>
  <si>
    <t>User Stories</t>
  </si>
  <si>
    <t>Sprint 1 | Feb 1-7</t>
  </si>
  <si>
    <t>Development &amp; Testing</t>
  </si>
  <si>
    <t>Dev environment setup, testing plan</t>
  </si>
  <si>
    <t>—</t>
  </si>
  <si>
    <t>Sprint setup, test strategy definition</t>
  </si>
  <si>
    <t>Dev Environment Configuration</t>
  </si>
  <si>
    <t>5BYTE-SCRUM_MTG</t>
  </si>
  <si>
    <t>HIGH</t>
  </si>
  <si>
    <t>Frankie Pinat, Lyca Gutierrez</t>
  </si>
  <si>
    <t>COMPLETED</t>
  </si>
  <si>
    <t>Sprint 2 | Feb 8 – Feb 14</t>
  </si>
  <si>
    <t>Manage Branch Profiles</t>
  </si>
  <si>
    <t>FR-9</t>
  </si>
  <si>
    <t>Create, update, and link branch profiles to users, customers, vehicles</t>
  </si>
  <si>
    <t>Vehicle Profile UI</t>
  </si>
  <si>
    <t>MEDIUM</t>
  </si>
  <si>
    <t>Completed</t>
  </si>
  <si>
    <t>UC1,UC2,UC3,UC4</t>
  </si>
  <si>
    <t>US1,US2,US3,US4</t>
  </si>
  <si>
    <t>Manage User Roles</t>
  </si>
  <si>
    <t>FR-7</t>
  </si>
  <si>
    <t>Role-based access control, role templates, branch assignment</t>
  </si>
  <si>
    <t>Vehicle Data Model</t>
  </si>
  <si>
    <t>UC10, UC11, UC12, UC13</t>
  </si>
  <si>
    <t>US10, US11, US12, US13</t>
  </si>
  <si>
    <t>Enforce User Log-in</t>
  </si>
  <si>
    <t>FR-8</t>
  </si>
  <si>
    <t>Secure authentication, admin-only user creation</t>
  </si>
  <si>
    <t>Services &amp; Products UI</t>
  </si>
  <si>
    <t>UC5,UC6, UC7, UC8</t>
  </si>
  <si>
    <t>US5,US6, US7, US8</t>
  </si>
  <si>
    <t>Enforce Mandatory Fields</t>
  </si>
  <si>
    <t>FR-12</t>
  </si>
  <si>
    <t>Validation rules on critical forms</t>
  </si>
  <si>
    <t>Services–Products Mapping</t>
  </si>
  <si>
    <t>UC14, UC15, UC16, UC17</t>
  </si>
  <si>
    <t>US14, US15, US16, US17</t>
  </si>
  <si>
    <t>Record Audit Logs</t>
  </si>
  <si>
    <t>FR-17</t>
  </si>
  <si>
    <t>System-wide audit trail for all key actions</t>
  </si>
  <si>
    <t>Job Order Workflow Engine</t>
  </si>
  <si>
    <t>LOW</t>
  </si>
  <si>
    <t>In Progress</t>
  </si>
  <si>
    <t>UC18</t>
  </si>
  <si>
    <t>US18</t>
  </si>
  <si>
    <t>Core Architecture Module Testing</t>
  </si>
  <si>
    <t>Verification of RBAC, login, branch logic</t>
  </si>
  <si>
    <t>Job Order UI</t>
  </si>
  <si>
    <t>Not started</t>
  </si>
  <si>
    <t>Sprint 3 | Feb 15 – Feb 21</t>
  </si>
  <si>
    <t>Manage Vehicle Profiles</t>
  </si>
  <si>
    <t>FR-1</t>
  </si>
  <si>
    <t>Vehicle CRUD, OR/CR storage, service history</t>
  </si>
  <si>
    <t>Inventory Auto-Deduction</t>
  </si>
  <si>
    <t>UC19, UC20, UC21, UC22</t>
  </si>
  <si>
    <t>US19, US20, US21, US22</t>
  </si>
  <si>
    <t>Manage Services, Products, Packages</t>
  </si>
  <si>
    <t>FR-2</t>
  </si>
  <si>
    <t>Many-to-many service–product–package management</t>
  </si>
  <si>
    <t>Operational Dashboard UI</t>
  </si>
  <si>
    <t>UC23, UC24, UC25, UC26</t>
  </si>
  <si>
    <t>US23, US24, US25, US26</t>
  </si>
  <si>
    <t>Manage Pricing Matrices</t>
  </si>
  <si>
    <t>FR-10</t>
  </si>
  <si>
    <t>Labor and pricing tables used for quotations</t>
  </si>
  <si>
    <t>Dashboard Data Services</t>
  </si>
  <si>
    <t>UC27, UC28, UC29, UC30</t>
  </si>
  <si>
    <t>US27, US28, US29, US30</t>
  </si>
  <si>
    <t>Generate Job Orders</t>
  </si>
  <si>
    <t>FR-3</t>
  </si>
  <si>
    <t>End-to-end job order workflow with templates</t>
  </si>
  <si>
    <t>Report Configuration UI</t>
  </si>
  <si>
    <t>UC31, UC32, UC33, UC34, US35, US36</t>
  </si>
  <si>
    <t>US31, US32, US33, US34, US35, US36</t>
  </si>
  <si>
    <t>Manage Customer Profiles</t>
  </si>
  <si>
    <t>FR-15</t>
  </si>
  <si>
    <t>Customer CRUD, vehicle and service linkage</t>
  </si>
  <si>
    <t>Report Export Engine</t>
  </si>
  <si>
    <t>UC37, UC38, UC39, UC40</t>
  </si>
  <si>
    <t>US37, US38, US39, US40</t>
  </si>
  <si>
    <t>Record Third-Party Repairs</t>
  </si>
  <si>
    <t>FR-16</t>
  </si>
  <si>
    <t>Open-ended repair records outside menus</t>
  </si>
  <si>
    <t>Purchase Order Management</t>
  </si>
  <si>
    <t>UC41, UC42, UC43, UC44</t>
  </si>
  <si>
    <t>US41, US42, US43, US44</t>
  </si>
  <si>
    <t>Order Fulfillment Module Testing</t>
  </si>
  <si>
    <t>Validation of job order lifecycle &amp; pricing</t>
  </si>
  <si>
    <t>RBAC Engine</t>
  </si>
  <si>
    <t>Sprint 4 | Feb 22 – Feb 28</t>
  </si>
  <si>
    <t>Record Stock-In</t>
  </si>
  <si>
    <t>FR-6</t>
  </si>
  <si>
    <t>Purchase orders, stock replenishment templates</t>
  </si>
  <si>
    <t>Role-Based UI Adaptation</t>
  </si>
  <si>
    <t>UC45, UC46, UC47, UC48, UC49, UC50, UC51, UC52</t>
  </si>
  <si>
    <t>US45, US46, US47, US48, US49, US50, US51, US52</t>
  </si>
  <si>
    <t>Manage Supplier Profiles</t>
  </si>
  <si>
    <t>FR-13</t>
  </si>
  <si>
    <t>Supplier CRUD with contact and linkage</t>
  </si>
  <si>
    <t>Authentication Module</t>
  </si>
  <si>
    <t>UC53, UC54, UC55, UC56</t>
  </si>
  <si>
    <t>US53, US54, US55, US56</t>
  </si>
  <si>
    <t>Manage Supplier Products</t>
  </si>
  <si>
    <t>FR-14</t>
  </si>
  <si>
    <t>Supplier–product one-to-one mapping</t>
  </si>
  <si>
    <t>Branch Management UI</t>
  </si>
  <si>
    <t>UC57, UC58, UC59, UC60</t>
  </si>
  <si>
    <t>US57, US58, US59, US60</t>
  </si>
  <si>
    <t>Inventory Module Testing</t>
  </si>
  <si>
    <t>Inventory accuracy and PO logic testing</t>
  </si>
  <si>
    <t>Pricing Matrix Engine</t>
  </si>
  <si>
    <t>Sprint 5 | Mar 1 – Mar 7</t>
  </si>
  <si>
    <t>Push System Notifications</t>
  </si>
  <si>
    <t>FR-18</t>
  </si>
  <si>
    <t>Job status alerts to relevant users</t>
  </si>
  <si>
    <t>Validation Layer</t>
  </si>
  <si>
    <t>UC61, UC62, UC63, UC64</t>
  </si>
  <si>
    <t>US61, US62, US63, US64</t>
  </si>
  <si>
    <t>Send Service Reminders</t>
  </si>
  <si>
    <t>FR-19</t>
  </si>
  <si>
    <t>Automated service reminders via SMS/Email</t>
  </si>
  <si>
    <t>Performance Analytics Engine</t>
  </si>
  <si>
    <t>UC65, UC66, UC67, UC68, UC69</t>
  </si>
  <si>
    <t>US65, US66, US67, US68, US69</t>
  </si>
  <si>
    <t>Customer Management Module Testing</t>
  </si>
  <si>
    <t>Notification and reminder verification</t>
  </si>
  <si>
    <t>Supplier Profile UI</t>
  </si>
  <si>
    <t>Sprint 6 | Mar 8 – Mar 14</t>
  </si>
  <si>
    <t>Real-Time Dashboards</t>
  </si>
  <si>
    <t>FR-4</t>
  </si>
  <si>
    <t>Live sales, inventory, and workshop metrics</t>
  </si>
  <si>
    <t>Supplier Product Mapping</t>
  </si>
  <si>
    <t>UC70, UC71</t>
  </si>
  <si>
    <t>US70, US71</t>
  </si>
  <si>
    <t>Generate Reports</t>
  </si>
  <si>
    <t>FR-5</t>
  </si>
  <si>
    <t>Configurable and exportable reports</t>
  </si>
  <si>
    <t>Customer Profile UI</t>
  </si>
  <si>
    <t>UC72, UC73, UC74, UC75</t>
  </si>
  <si>
    <t>US72, US73, US74, US75</t>
  </si>
  <si>
    <t>Display Staff Performance Analytics</t>
  </si>
  <si>
    <t>FR-11</t>
  </si>
  <si>
    <t>Job completion time, sales per staff</t>
  </si>
  <si>
    <t>Third-Party Repair Records</t>
  </si>
  <si>
    <t>UC76, UC77, UC78, UC79</t>
  </si>
  <si>
    <t>US76, US77, US78, US79</t>
  </si>
  <si>
    <t>Reporting &amp; Analytics Module Testing</t>
  </si>
  <si>
    <t>Data accuracy and performance validation</t>
  </si>
  <si>
    <t>Audit Logging Service</t>
  </si>
  <si>
    <t>Sprint 7 | Mar 15 – Mar 21</t>
  </si>
  <si>
    <t>Slack Time</t>
  </si>
  <si>
    <t>Bug fixing, refinements</t>
  </si>
  <si>
    <t>All</t>
  </si>
  <si>
    <t>Cross-module stabilization</t>
  </si>
  <si>
    <t>Notification Engine</t>
  </si>
  <si>
    <t>Sprints Documentation</t>
  </si>
  <si>
    <t>Sprint &amp; system documentation</t>
  </si>
  <si>
    <t>Technical and user documentation</t>
  </si>
  <si>
    <t>Reminder Scheduler</t>
  </si>
  <si>
    <t>System Prototype Approval</t>
  </si>
  <si>
    <t>Final review &amp; sign-off</t>
  </si>
  <si>
    <t>Client acceptance of prototype</t>
  </si>
  <si>
    <t>Core Architecture</t>
  </si>
  <si>
    <t>Feature/ Theme</t>
  </si>
  <si>
    <t>UC</t>
  </si>
  <si>
    <t>Persona</t>
  </si>
  <si>
    <t>Functionality</t>
  </si>
  <si>
    <t>US</t>
  </si>
  <si>
    <t>STORY</t>
  </si>
  <si>
    <t>ACCEPTANCE CRITERIA</t>
  </si>
  <si>
    <t>FR/NFR</t>
  </si>
  <si>
    <t>UC1</t>
  </si>
  <si>
    <t>HM, POC, JS, R</t>
  </si>
  <si>
    <t>Create Branch Profile</t>
  </si>
  <si>
    <t>US1</t>
  </si>
  <si>
    <t>As a HM, POC, JS, or R, I want to create a branch profile so the branch can be registered in the system.</t>
  </si>
  <si>
    <t>Branch profile is saved within ≤3 seconds, with 100% mandatory field validation enforced</t>
  </si>
  <si>
    <t>UC2</t>
  </si>
  <si>
    <t>View Branch Profille</t>
  </si>
  <si>
    <t>US2</t>
  </si>
  <si>
    <t>As a HM, POC, JS, or R, I want to view branch profile details for reference and management</t>
  </si>
  <si>
    <t>Branch details load within ≤2 seconds with 100% data accuracy</t>
  </si>
  <si>
    <t>UC3</t>
  </si>
  <si>
    <t>Update Branch Profille</t>
  </si>
  <si>
    <t>US3</t>
  </si>
  <si>
    <t>As a HM, POC, JS, or R, I want to update branch profile information to keep records current</t>
  </si>
  <si>
    <t>Updates are saved successfully in ≥99% of valid submissions and reflected immediately.</t>
  </si>
  <si>
    <t>UC4</t>
  </si>
  <si>
    <t>Delete Branch Profille</t>
  </si>
  <si>
    <t>US4</t>
  </si>
  <si>
    <t>As a HM, POC, JS, or R, I want to delete a branch profile to remove inactive branches</t>
  </si>
  <si>
    <t>Branch profile is removed from active selection in 100% of deletion attempts</t>
  </si>
  <si>
    <t>UC5</t>
  </si>
  <si>
    <t>HM, POC, JS, R, T</t>
  </si>
  <si>
    <t>Log into system</t>
  </si>
  <si>
    <t>US5</t>
  </si>
  <si>
    <t>As a HM, POC, JS, R, or T, I want to log into the system to access my assigned features</t>
  </si>
  <si>
    <t>Login succeeds for valid credentials in ≥99% of attempts with response time ≤2 seconds</t>
  </si>
  <si>
    <t>UC6</t>
  </si>
  <si>
    <t>Log out of system</t>
  </si>
  <si>
    <t>US6</t>
  </si>
  <si>
    <t>As a HM, POC, JS, R, or T, I want to log out to securely end my session</t>
  </si>
  <si>
    <t>Session is terminated immediately and access is revoked in 100% of logout actions</t>
  </si>
  <si>
    <t>UC7</t>
  </si>
  <si>
    <t>View Account</t>
  </si>
  <si>
    <t>US7</t>
  </si>
  <si>
    <t>As a HM, POC, JS, R, or T, I want to view my account details for verification</t>
  </si>
  <si>
    <t>Account information loads within ≤2 seconds with 100% role-based access enforcement</t>
  </si>
  <si>
    <t>UC8</t>
  </si>
  <si>
    <t>Forgot Password</t>
  </si>
  <si>
    <t>US8</t>
  </si>
  <si>
    <t>As a HM, POC, JS, R, or T, I want to reset my password if I forget it</t>
  </si>
  <si>
    <t>Password reset is completed successfully in ≥95% of requests within ≤5 minutes</t>
  </si>
  <si>
    <t>UC9</t>
  </si>
  <si>
    <t>Change Password</t>
  </si>
  <si>
    <t>US9</t>
  </si>
  <si>
    <t>As a HM, POC, JS, R, or T, I want to change my password to maintain account security</t>
  </si>
  <si>
    <t>New password meets 100% complexity rules and is enforced on next login</t>
  </si>
  <si>
    <t>UC10</t>
  </si>
  <si>
    <t>HM, POC, JS</t>
  </si>
  <si>
    <t>Create user accounts</t>
  </si>
  <si>
    <t>US10</t>
  </si>
  <si>
    <t>As a HM, POC, or JS, I want to create user accounts to grant system access</t>
  </si>
  <si>
    <t>User accounts are created successfully in ≥98% of valid submissions with correct role and branch assignment</t>
  </si>
  <si>
    <t>UC11</t>
  </si>
  <si>
    <t>View user accounts</t>
  </si>
  <si>
    <t>US11</t>
  </si>
  <si>
    <t>As a HM, POC, or JS, I want to view user accounts for oversight and management</t>
  </si>
  <si>
    <t>User list loads within ≤3 seconds with 100% accurate role and status data</t>
  </si>
  <si>
    <t>UC12</t>
  </si>
  <si>
    <t>Update user accounts</t>
  </si>
  <si>
    <t>US12</t>
  </si>
  <si>
    <t>As a HM, POC, or JS, I want to update user account details to reflect role or status changes</t>
  </si>
  <si>
    <t>Changes are applied and enforced in ≤1 minute in ≥99% of cases</t>
  </si>
  <si>
    <t>UC13</t>
  </si>
  <si>
    <t>Delete user accounts</t>
  </si>
  <si>
    <t>US13</t>
  </si>
  <si>
    <t>As a HM, POC, or JS, I want to delete user accounts to revoke access</t>
  </si>
  <si>
    <t>Deleted accounts are prevented from logging in in 100% of cases</t>
  </si>
  <si>
    <t>UC14</t>
  </si>
  <si>
    <t>Create Mandatory Fields</t>
  </si>
  <si>
    <t>US14</t>
  </si>
  <si>
    <t>As a HM, POC, or JS, I want to define mandatory fields to enforce data completeness</t>
  </si>
  <si>
    <t>UC15</t>
  </si>
  <si>
    <t>View Mandatory Fields</t>
  </si>
  <si>
    <t>US15</t>
  </si>
  <si>
    <t>As a HM, POC, or JS, I want to view mandatory field configurations for validation reference</t>
  </si>
  <si>
    <t>Configuration list loads within ≤2 seconds with 100% accuracy</t>
  </si>
  <si>
    <t>UC16</t>
  </si>
  <si>
    <t>Update Mandatory Fields</t>
  </si>
  <si>
    <t>US16</t>
  </si>
  <si>
    <t>As a HM, POC, or JS, I want to update mandatory field rules to match business needs</t>
  </si>
  <si>
    <t>Updated rules take effect in ≤5 minutes for 100% of new records.</t>
  </si>
  <si>
    <t>UC17</t>
  </si>
  <si>
    <t>Delete Mandatory Fields</t>
  </si>
  <si>
    <t>US17</t>
  </si>
  <si>
    <t>As a HM, POC, or JS, I want to remove mandatory field rules that are no longer required</t>
  </si>
  <si>
    <t>Deleted rules are no longer enforced in 100% of subsequent transactions</t>
  </si>
  <si>
    <t>HM, POC</t>
  </si>
  <si>
    <t>Record Audit Log</t>
  </si>
  <si>
    <t>As a HM or POC, I want system actions to be logged for traceability and compliance</t>
  </si>
  <si>
    <t>100% of critical actions generate audit logs with user ID, timestamp, and action typ</t>
  </si>
  <si>
    <t>Order Fulfillment</t>
  </si>
  <si>
    <t>UC19</t>
  </si>
  <si>
    <t>Create Vehicle Profiles</t>
  </si>
  <si>
    <t>US19</t>
  </si>
  <si>
    <t>As a HM, POC, JS, or R, I want to create vehicle profiles to record customer vehicle details and service history</t>
  </si>
  <si>
    <t>Vehicle profile is created within ≤5 seconds with 100% mandatory fields validated and a unique vehicle identifier assigned</t>
  </si>
  <si>
    <t>UC20</t>
  </si>
  <si>
    <t>View Vehicle Profiles</t>
  </si>
  <si>
    <t>US20</t>
  </si>
  <si>
    <t>As a HM, POC, JS, or R, I want to view vehicle profiles for reference and service tracking</t>
  </si>
  <si>
    <t>Vehicle profile details load within ≤3 seconds with 100% data accuracy</t>
  </si>
  <si>
    <t>UC21</t>
  </si>
  <si>
    <t>Update Vehicle Profiles</t>
  </si>
  <si>
    <t>US21</t>
  </si>
  <si>
    <t>As a HM, POC, JS, or R, I want to update vehicle profiles to keep vehicle information current</t>
  </si>
  <si>
    <t>Updates are saved successfully in ≥99% of valid edits and reflected immediately</t>
  </si>
  <si>
    <t>UC22</t>
  </si>
  <si>
    <t>Delete Vehicle Profiles</t>
  </si>
  <si>
    <t>US22</t>
  </si>
  <si>
    <t>As a HM, POC, JS, or R, I want to delete vehicle profiles for decommissioned or invalid records</t>
  </si>
  <si>
    <t>Deleted vehicle profiles are removed from active selection and service workflows in 100% of cases</t>
  </si>
  <si>
    <t>UC23</t>
  </si>
  <si>
    <t>Create Services, Products, Packages</t>
  </si>
  <si>
    <t>US23</t>
  </si>
  <si>
    <t>As a HM, POC, or JS, I want to create services, products, and packages so they can be selected during quotations and job orders</t>
  </si>
  <si>
    <t>Items are created within ≤5 seconds with 100% mandatory fields validated and a unique item code assigned</t>
  </si>
  <si>
    <t>UC24</t>
  </si>
  <si>
    <t>View Services, Products, Packages</t>
  </si>
  <si>
    <t>US24</t>
  </si>
  <si>
    <t>As a HM, POC, JS, or R, I want to view services, products, and packages for reference and selection</t>
  </si>
  <si>
    <t>Catalog loads within ≤3 seconds with 100% pricing and description accuracy</t>
  </si>
  <si>
    <t>UC25</t>
  </si>
  <si>
    <t>Update Services, Products, Packages</t>
  </si>
  <si>
    <t>US25</t>
  </si>
  <si>
    <t>As a HM, POC, or JS, I want to update services, products, and packages to reflect pricing or scope changes</t>
  </si>
  <si>
    <t>Updates are saved successfully in ≥98% of valid edits and applied to new transactions within ≤5 minutes</t>
  </si>
  <si>
    <t>UC26</t>
  </si>
  <si>
    <t>Delete Services, Products, Packages</t>
  </si>
  <si>
    <t>US26</t>
  </si>
  <si>
    <t>As a HM, POC, or JS, I want to delete services, products, and packages that are no longer offered</t>
  </si>
  <si>
    <t>Deleted items are removed from selection in 100% of new quotations and job orders</t>
  </si>
  <si>
    <t>UC27</t>
  </si>
  <si>
    <t>Create labor and packaging pricing matrices</t>
  </si>
  <si>
    <t>US27</t>
  </si>
  <si>
    <t>As an HM, POC, JS, or R, I want to create labor and packaging pricing matrices to define standardized costs.</t>
  </si>
  <si>
    <t>Pricing matrix is saved within ≤3 seconds with complete validation of required fields.</t>
  </si>
  <si>
    <t>UC28</t>
  </si>
  <si>
    <t>View labor and packaging pricing matrices</t>
  </si>
  <si>
    <t>US28</t>
  </si>
  <si>
    <t>As an HM, POC, JS, R, or T, I want to view labor and packaging pricing matrices for cost reference.</t>
  </si>
  <si>
    <t>Pricing matrix data loads within ≤2 seconds with 100% accuracy.</t>
  </si>
  <si>
    <t>UC29</t>
  </si>
  <si>
    <t>Update labor and packaging pricing matrices</t>
  </si>
  <si>
    <t>US29</t>
  </si>
  <si>
    <t>As an HM, POC, JS, or R, I want to update pricing matrices to reflect cost changes.</t>
  </si>
  <si>
    <t>Updates are successfully saved in ≥99% of valid submissions and applied immediately.</t>
  </si>
  <si>
    <t>UC30</t>
  </si>
  <si>
    <t>Delete labor and packaging pricing matrices</t>
  </si>
  <si>
    <t>US30</t>
  </si>
  <si>
    <t>As an HM, POC, JS, or R, I want to delete pricing matrices that are no longer applicable.</t>
  </si>
  <si>
    <t>Pricing matrix is removed from active selection in 100% of deletion attempts.</t>
  </si>
  <si>
    <t>UC31</t>
  </si>
  <si>
    <t>POC, JS, R</t>
  </si>
  <si>
    <t>Create Job Order Cards</t>
  </si>
  <si>
    <t>US31</t>
  </si>
  <si>
    <t>As a POC, JS, or R, I want to create order cards to track active service work</t>
  </si>
  <si>
    <t>Order card is created successfully in ≤5 seconds and linked to a valid job estimate 100% of the time</t>
  </si>
  <si>
    <t>UC32</t>
  </si>
  <si>
    <t>View Job Order Cards</t>
  </si>
  <si>
    <t>US32</t>
  </si>
  <si>
    <t>s a HM, POC, JS, R, or T, I want to view order cards to monitor service progress.</t>
  </si>
  <si>
    <t>Order card details load within ≤3 seconds with real-time status visibility</t>
  </si>
  <si>
    <t>UC33</t>
  </si>
  <si>
    <t>POC, JS, R, T</t>
  </si>
  <si>
    <t>Update Job Order Cards</t>
  </si>
  <si>
    <t>US33</t>
  </si>
  <si>
    <t>As a POC, JS, R, or T, I want to update order cards as work progresses</t>
  </si>
  <si>
    <t>Status updates are saved in ≥99% of valid submissions and visible in real time</t>
  </si>
  <si>
    <t>UC34</t>
  </si>
  <si>
    <t>Delete Job Order Cards</t>
  </si>
  <si>
    <t>US34</t>
  </si>
  <si>
    <t>As a POC, JS, or R, I want to delete order cards for canceled jobs</t>
  </si>
  <si>
    <t>Deleted order cards are removed from active workflow in 100% of cases</t>
  </si>
  <si>
    <t>UC35</t>
  </si>
  <si>
    <t>R, T</t>
  </si>
  <si>
    <t>Ask for customer approval</t>
  </si>
  <si>
    <t>US35</t>
  </si>
  <si>
    <t>As a R or T, I want to request customer approval to proceed with service work</t>
  </si>
  <si>
    <t>Approval request is sent successfully in ≥95% of attempts with complete service details</t>
  </si>
  <si>
    <t>UC36</t>
  </si>
  <si>
    <t>Receive customer approval</t>
  </si>
  <si>
    <t>US36</t>
  </si>
  <si>
    <t>As a R or T, I want to record customer approval to proceed with the job</t>
  </si>
  <si>
    <t>Approval status is updated in ≤2 minutes and logged in 100% of approved transactions</t>
  </si>
  <si>
    <t>UC37</t>
  </si>
  <si>
    <t>Create Customer Profile</t>
  </si>
  <si>
    <t>US37</t>
  </si>
  <si>
    <t>As a HM, POC, JS, or R, I want to create a customer profile to store customer details and link vehicles and service history</t>
  </si>
  <si>
    <t>Customer profile is created within ≤5 seconds with 100% mandatory fields validated, and the profile is successfully linkable to vehicle records in 100% of cases</t>
  </si>
  <si>
    <t>UC38</t>
  </si>
  <si>
    <t>View Customer Profile</t>
  </si>
  <si>
    <t>US38</t>
  </si>
  <si>
    <t>As an HM, POC, JS, R, or T, I want to view the customer database to access customer information for reference and management.</t>
  </si>
  <si>
    <t>Customer records load within ≤2 seconds with 100% data accuracy and role-based access enforced.</t>
  </si>
  <si>
    <t>UC39</t>
  </si>
  <si>
    <t>Update Customer Profile</t>
  </si>
  <si>
    <t>US39</t>
  </si>
  <si>
    <t>As a POC, JS, R, or T, I want to update customer records to keep customer information current.</t>
  </si>
  <si>
    <t>Customer updates are saved successfully in ≥99% of valid submissions and reflected immediately.</t>
  </si>
  <si>
    <t>UC40</t>
  </si>
  <si>
    <t>Delete Customer Profile</t>
  </si>
  <si>
    <t>US40</t>
  </si>
  <si>
    <t>As a POC, JS, or R, I want to delete customer records to remove inactive or invalid entries.</t>
  </si>
  <si>
    <t>Customer records are removed from active records in 100% of deletion attempts.</t>
  </si>
  <si>
    <t>UC41</t>
  </si>
  <si>
    <t>Add Third Party Repair</t>
  </si>
  <si>
    <t>US41</t>
  </si>
  <si>
    <t>As a HM, POC, JS, R, or T, I want to add third-party repair details for outsourced services</t>
  </si>
  <si>
    <t>Third-party repair record is saved with 100% required fields completed</t>
  </si>
  <si>
    <t>UC42</t>
  </si>
  <si>
    <t>View Third Party Repair</t>
  </si>
  <si>
    <t>US42</t>
  </si>
  <si>
    <t>As a HM, POC, JS, R, or T, I want to view third-party repair information for tracking</t>
  </si>
  <si>
    <t>Records load within ≤3 seconds with 100% data accuracy</t>
  </si>
  <si>
    <t>UC43</t>
  </si>
  <si>
    <t>Update Third Party Repair</t>
  </si>
  <si>
    <t>US43</t>
  </si>
  <si>
    <t>As a HM, POC, JS, R, or T, I want to update third-party repair details as needed</t>
  </si>
  <si>
    <t>Updates are reflected in ≥98% of valid edits within ≤1 minute</t>
  </si>
  <si>
    <t>UC44</t>
  </si>
  <si>
    <t>Delete Third Party Repair</t>
  </si>
  <si>
    <t>US44</t>
  </si>
  <si>
    <t>As a HM, POC, JS, R, or T, I want to delete third-party repair records when no longer applicable</t>
  </si>
  <si>
    <t>Deleted records are excluded from billing and reports in 100% of cases</t>
  </si>
  <si>
    <t>Inventory</t>
  </si>
  <si>
    <t>UC45</t>
  </si>
  <si>
    <t>HM, POS, JS</t>
  </si>
  <si>
    <t>Add Inventory</t>
  </si>
  <si>
    <t>US45</t>
  </si>
  <si>
    <t>As a HM, POS, or JS, I want to add inventory items so parts and supplies can be tracked accurately</t>
  </si>
  <si>
    <t>Inventory item is added within ≤5 seconds with 100% mandatory fields validated and a unique item ID assigned</t>
  </si>
  <si>
    <t>UC46</t>
  </si>
  <si>
    <t>View Inventory</t>
  </si>
  <si>
    <t>US46</t>
  </si>
  <si>
    <t>As a HM, POS, or JS, I want to view inventory levels to monitor stock availability</t>
  </si>
  <si>
    <t>Inventory list loads within ≤3 seconds with ≥99% quantity accuracy</t>
  </si>
  <si>
    <t>UC47</t>
  </si>
  <si>
    <t>Update Inventory</t>
  </si>
  <si>
    <t>US47</t>
  </si>
  <si>
    <t>As a HM, POS, or JS, I want to update inventory details to reflect stock changes and adjustments</t>
  </si>
  <si>
    <t>Inventory updates are saved successfully in ≥98% of valid updates and reflected in real time</t>
  </si>
  <si>
    <t>UC48</t>
  </si>
  <si>
    <t>Delete Inventory</t>
  </si>
  <si>
    <t>US48</t>
  </si>
  <si>
    <t>s a HM, POS, or JS, I want to delete inventory items that are obsolete or invalid</t>
  </si>
  <si>
    <t>Deleted inventory items are removed from active stock and cannot be selected in 100% of transactions</t>
  </si>
  <si>
    <t>UC49</t>
  </si>
  <si>
    <t>Create purchase orders for inventory</t>
  </si>
  <si>
    <t>US49</t>
  </si>
  <si>
    <t>As an HM, POC, JS, or R, I want to create a purchase order so inventory items can be procured.</t>
  </si>
  <si>
    <t>Purchase order is saved within ≤3 seconds with 100% mandatory field validation enforced.</t>
  </si>
  <si>
    <t>UC50</t>
  </si>
  <si>
    <t>View purchase orders for inventory</t>
  </si>
  <si>
    <t>US50</t>
  </si>
  <si>
    <t>As an HM, POC, JS, or R, I want to view purchase orders for tracking and reference.</t>
  </si>
  <si>
    <t>Purchase order details load within ≤2 seconds with 100% data accuracy.</t>
  </si>
  <si>
    <t>UC51</t>
  </si>
  <si>
    <t>Update purchase orders for inventory</t>
  </si>
  <si>
    <t>US51</t>
  </si>
  <si>
    <t>As an HM, POC, JS, or R, I want to update purchase orders to keep inventory records current.</t>
  </si>
  <si>
    <t>UC52</t>
  </si>
  <si>
    <t>Delete purchase orders for inventory</t>
  </si>
  <si>
    <t>US52</t>
  </si>
  <si>
    <t>As an HM, POC, JS, or R, I want to delete purchase orders to remove invalid or cancelled entries.</t>
  </si>
  <si>
    <t>Deleted purchase orders are removed from active records in 100% of deletion attempts.</t>
  </si>
  <si>
    <t>UC53</t>
  </si>
  <si>
    <t>Create Supplier Profile</t>
  </si>
  <si>
    <t>US53</t>
  </si>
  <si>
    <t>As an HM, POC, or JS, I want to create a supplier profile to register suppliers in the system.</t>
  </si>
  <si>
    <t>Supplier profile is saved within ≤3 seconds with 100% mandatory field validation.</t>
  </si>
  <si>
    <t>UC54</t>
  </si>
  <si>
    <t>View Supplier Profile</t>
  </si>
  <si>
    <t>US54</t>
  </si>
  <si>
    <t>As an HM, POC, or JS, I want to view supplier profiles for reference and management.</t>
  </si>
  <si>
    <t>Supplier profile details load within ≤2 seconds with 100% data accuracy.</t>
  </si>
  <si>
    <t>UC55</t>
  </si>
  <si>
    <t xml:space="preserve">Edit Supplier Profile </t>
  </si>
  <si>
    <t>US55</t>
  </si>
  <si>
    <t>As an HM, POC, or JS, I want to edit supplier profiles to keep supplier information updated.</t>
  </si>
  <si>
    <t>Supplier profile updates are saved successfully in ≥99% of valid submissions.</t>
  </si>
  <si>
    <t>UC56</t>
  </si>
  <si>
    <t>Delete Supplier Profile</t>
  </si>
  <si>
    <t>US56</t>
  </si>
  <si>
    <t>As an HM, POC, or JS, I want to delete supplier profiles to remove inactive suppliers.</t>
  </si>
  <si>
    <t>Supplier profile is removed from active records in 100% of deletion attempts.</t>
  </si>
  <si>
    <t>UC57</t>
  </si>
  <si>
    <t>Create Supplier Product</t>
  </si>
  <si>
    <t>US57</t>
  </si>
  <si>
    <t>As an HM, POC, or JS, I want to create supplier products to link items with suppliers.</t>
  </si>
  <si>
    <t>Supplier product is created within ≤3 seconds with full validation of required fields.</t>
  </si>
  <si>
    <t>UC58</t>
  </si>
  <si>
    <t>View Supplier Product</t>
  </si>
  <si>
    <t>US58</t>
  </si>
  <si>
    <t>As an HM, POC, or JS, I want to view supplier products for inventory reference.</t>
  </si>
  <si>
    <t>Supplier product details load within ≤2 seconds with 100% accuracy.</t>
  </si>
  <si>
    <t>UC59</t>
  </si>
  <si>
    <t xml:space="preserve">Edit Supplier Product </t>
  </si>
  <si>
    <t>US59</t>
  </si>
  <si>
    <t>As an HM, POC, or JS, I want to edit supplier products to reflect pricing or item changes.</t>
  </si>
  <si>
    <t>Supplier product updates are saved successfully in ≥99% of valid submissions.</t>
  </si>
  <si>
    <t>UC60</t>
  </si>
  <si>
    <t>Delete Supplier Product</t>
  </si>
  <si>
    <t>US60</t>
  </si>
  <si>
    <t>As an HM, POC, or JS, I want to delete supplier products that are no longer offered.</t>
  </si>
  <si>
    <t>Supplier product is removed from active records in 100% of deletion attempts.</t>
  </si>
  <si>
    <t>Customer Management</t>
  </si>
  <si>
    <t>UC61</t>
  </si>
  <si>
    <t>Create system notifications</t>
  </si>
  <si>
    <t>US61</t>
  </si>
  <si>
    <t>As an HM, POC, or JS, I want to create system notifications to communicate important updates to users.</t>
  </si>
  <si>
    <t>System notification is created within ≤3 seconds with complete validation of required fields.</t>
  </si>
  <si>
    <t>UC62</t>
  </si>
  <si>
    <t>Receive system notifications</t>
  </si>
  <si>
    <t>US62</t>
  </si>
  <si>
    <t>As an HM, POC, JS, R, or T, I want to receive system notifications to stay informed of relevant updates.</t>
  </si>
  <si>
    <t>Notifications are delivered to intended recipients in ≥99% of cases within acceptable response time.</t>
  </si>
  <si>
    <t>UC63</t>
  </si>
  <si>
    <t>Update system notifications</t>
  </si>
  <si>
    <t>US63</t>
  </si>
  <si>
    <t>As an HM, POC, or JS, I want to update system notifications to revise message content or settings.</t>
  </si>
  <si>
    <t>Notification updates are saved successfully in ≥99% of valid submissions and applied immediately.</t>
  </si>
  <si>
    <t>UC64</t>
  </si>
  <si>
    <t>Delete system notifications</t>
  </si>
  <si>
    <t>US64</t>
  </si>
  <si>
    <t>As an HM, POC, or JS, I want to delete system notifications that are no longer needed.</t>
  </si>
  <si>
    <t>Deleted notifications are removed from active notifications in 100% of deletion attempts.</t>
  </si>
  <si>
    <t>UC65</t>
  </si>
  <si>
    <t>Create Service Reminder Delivery Notifications</t>
  </si>
  <si>
    <t>US65</t>
  </si>
  <si>
    <t>As a POC, JS, or R, I want to create service reminder deliveries to notify customers of upcoming services.</t>
  </si>
  <si>
    <t>Service reminder delivery is created within ≤3 seconds with 100% mandatory field validation.</t>
  </si>
  <si>
    <t>UC66</t>
  </si>
  <si>
    <t>View Service Reminder Delivery</t>
  </si>
  <si>
    <t>US66</t>
  </si>
  <si>
    <t>As a POC, JS, or R, I want to view service reminder deliveries to monitor reminder status.</t>
  </si>
  <si>
    <t>Service reminder delivery details load within ≤2 seconds with 100% accuracy.</t>
  </si>
  <si>
    <t>UC67</t>
  </si>
  <si>
    <t>Update Service Reminder Delivery</t>
  </si>
  <si>
    <t>US67</t>
  </si>
  <si>
    <t>As a POC, JS, or R, I want to update service reminder deliveries to adjust schedules or content.</t>
  </si>
  <si>
    <t>UC68</t>
  </si>
  <si>
    <t>Delete Service Reminder Delivery</t>
  </si>
  <si>
    <t>US68</t>
  </si>
  <si>
    <t>As a POC, JS, or R, I want to delete service reminder deliveries that are no longer required.</t>
  </si>
  <si>
    <t>Service reminder deliveries are removed from active records in 100% of deletion attempts.</t>
  </si>
  <si>
    <t>UC69</t>
  </si>
  <si>
    <t>Send Service Reminder Delivery</t>
  </si>
  <si>
    <t>US69</t>
  </si>
  <si>
    <t>As a POC, JS, or R, I want to send service reminder deliveries to ensure customers are notified on time.</t>
  </si>
  <si>
    <t>Service reminders are sent successfully to intended recipients in ≥99% of delivery attempts.</t>
  </si>
  <si>
    <t>Reporting &amp; Analytics</t>
  </si>
  <si>
    <t>UC70</t>
  </si>
  <si>
    <t>View Real-time dashboards</t>
  </si>
  <si>
    <t>US70</t>
  </si>
  <si>
    <t>As a HM, POC, JS, or R, I want to view real-time dashboards to monitor sales, inventory, and operations</t>
  </si>
  <si>
    <t>Dashboards load within ≤5 seconds and reflect data updated within the last ≤5 minutes with ≥98% accuracy</t>
  </si>
  <si>
    <t>UC71</t>
  </si>
  <si>
    <t>Filter real-time dashboards</t>
  </si>
  <si>
    <t>US71</t>
  </si>
  <si>
    <t>As a HM, POC, JS, or R, I want to filter dashboards by branch, date, or category for focused analysis</t>
  </si>
  <si>
    <t>Applied filters update dashboard views in ≤3 seconds and return correct results in ≥98% of cases</t>
  </si>
  <si>
    <t>UC72</t>
  </si>
  <si>
    <t>Create staff performance analytics</t>
  </si>
  <si>
    <t>US72</t>
  </si>
  <si>
    <t>As a HM, POC, or JS, I want to create staff performance analytics to evaluate productivity and efficiency</t>
  </si>
  <si>
    <t>Analytics configuration is saved successfully in ≥95% of valid submissions and applied to staff data</t>
  </si>
  <si>
    <t>UC73</t>
  </si>
  <si>
    <t>View staff performance analytics</t>
  </si>
  <si>
    <t>US73</t>
  </si>
  <si>
    <t>As a HM, POC, JS, R, or T, I want to view staff performance analytics for monitoring and decision-making</t>
  </si>
  <si>
    <t>Analytics reports load within ≤4 seconds with 100% role-based access enforcement</t>
  </si>
  <si>
    <t>UC74</t>
  </si>
  <si>
    <t>Update staff performance analytics</t>
  </si>
  <si>
    <t>US74</t>
  </si>
  <si>
    <t>As a HM, POC, or JS, I want to update staff performance analytics to reflect new KPIs or thresholds</t>
  </si>
  <si>
    <t>Updates take effect in ≤5 minutes for 100% of new analytics calculations</t>
  </si>
  <si>
    <t>UC75</t>
  </si>
  <si>
    <t>Delete staff performance analytics</t>
  </si>
  <si>
    <t>US75</t>
  </si>
  <si>
    <t>As a HM, POC, or JS, I want to delete staff performance analytics that are no longer relevant</t>
  </si>
  <si>
    <t>Deleted analytics are excluded from dashboards and reports in 100% of cases</t>
  </si>
  <si>
    <t>UC76</t>
  </si>
  <si>
    <t>Create customizable reports</t>
  </si>
  <si>
    <t>US76</t>
  </si>
  <si>
    <t>As a HM, POC, JS, or R, I want to create customizable reports for flexible reporting needs</t>
  </si>
  <si>
    <t>Reports are generated successfully in ≥95% of valid configurations using selected filters and fields</t>
  </si>
  <si>
    <t>UC77</t>
  </si>
  <si>
    <t>Export customizable reports</t>
  </si>
  <si>
    <t>US77</t>
  </si>
  <si>
    <t>As a HM, POC, JS, or R, I want to view customizable reports for analysis and review</t>
  </si>
  <si>
    <t>Reports load within ≤5 seconds with 100% data accuracy</t>
  </si>
  <si>
    <t>UC78</t>
  </si>
  <si>
    <t>View customizable reports</t>
  </si>
  <si>
    <t>US78</t>
  </si>
  <si>
    <t>As a HM, POC, JS, or R, I want to export reports for external reporting and sharing</t>
  </si>
  <si>
    <t>Reports export successfully in ≥98% of attempts within ≤10 seconds in supported formats (e.g., PDF, CSV)</t>
  </si>
  <si>
    <t>UC79</t>
  </si>
  <si>
    <t>Delete customizable reports</t>
  </si>
  <si>
    <t>US79</t>
  </si>
  <si>
    <t>As a HM, POC, JS, or R, I want to delete customizable reports that are no longer needed</t>
  </si>
  <si>
    <t>Deleted reports are permanently removed and inaccessible in 100% of cases</t>
  </si>
  <si>
    <t>Test Case Inventory</t>
  </si>
  <si>
    <t>MODULE</t>
  </si>
  <si>
    <t>TEST TYPE</t>
  </si>
  <si>
    <t>START</t>
  </si>
  <si>
    <t>END</t>
  </si>
  <si>
    <t>TOTAL TEST</t>
  </si>
  <si>
    <t>TOTAL DEFECTS</t>
  </si>
  <si>
    <t>STATUS</t>
  </si>
  <si>
    <t>TEST OWNER</t>
  </si>
  <si>
    <t>REMARKS</t>
  </si>
  <si>
    <t>Unit, Security, Performance, Configuration</t>
  </si>
  <si>
    <t>Lyca Gutierrez, Mauie De Guzman</t>
  </si>
  <si>
    <t>Functional, Validation, Workflow, Negative</t>
  </si>
  <si>
    <t>Functional, Data Integrity, Boundary, Concurrency, Regression</t>
  </si>
  <si>
    <t>Functional, Usability, Performance, Data Integrity</t>
  </si>
  <si>
    <t>Functional, Data Integrity, Real-Time, RBAC, Performance</t>
  </si>
  <si>
    <t>Integration &amp; Final UAT</t>
  </si>
  <si>
    <t>E2E, Cross-Module Data Flow, UAT, Regression, Deployment Readiness</t>
  </si>
  <si>
    <t>[Sprint 2] Core Architecture Test Summary Report</t>
  </si>
  <si>
    <t>TITLE</t>
  </si>
  <si>
    <t>PROJECT NAME</t>
  </si>
  <si>
    <t>TOTAL TESTS</t>
  </si>
  <si>
    <t>Petrozone Pulse</t>
  </si>
  <si>
    <t>––––––––  TESTING PERIOD  ––––––––</t>
  </si>
  <si>
    <t>REPORT PREPARED BY</t>
  </si>
  <si>
    <t>REPORT DATE</t>
  </si>
  <si>
    <t>START DATE</t>
  </si>
  <si>
    <t>END DATE</t>
  </si>
  <si>
    <t>Mauie De Guzman</t>
  </si>
  <si>
    <r>
      <rPr>
        <rFont val="Inter Tight"/>
        <b/>
        <color rgb="FFFFFFFF"/>
        <sz val="12.0"/>
      </rPr>
      <t>TEST OBJECTIVES</t>
    </r>
    <r>
      <rPr>
        <rFont val="Inter Tight"/>
        <color rgb="FFFFFFFF"/>
        <sz val="12.0"/>
      </rPr>
      <t xml:space="preserve">  </t>
    </r>
    <r>
      <rPr>
        <rFont val="Inter Tight"/>
        <color rgb="FFFFFFFF"/>
        <sz val="10.0"/>
      </rPr>
      <t>Brief description of the testing goals</t>
    </r>
  </si>
  <si>
    <t>The objective of testing the Core Architecture Module is to verify that Petrozone Pulse’s foundational system components are stable, secure, and enforce standardized system rules across all branches. Testing will ensure that user authentication, role-based access control, branch management, and mandatory field validation function correctly and consistently.
Specifically, testing aims to confirm that:
Login and authentication mechanisms correctly validate users, enforce session and lockout rules, and prevent unauthorized access.
Role-based access control (RBAC) reliably restricts system features and APIs based on assigned user roles and branch associations.
Core system validations—including mandatory fields, configuration parameters, and data integrity rules—are consistently enforced across all core APIs.
Audit logging accurately records critical system actions and changes, providing traceability and compliance for operational transparency.
Core services and APIs initialize correctly, remain available under expected usage, and provide a stable foundation for dependent modules.
Successful completion of these tests will demonstrate that the Core Architecture Module meets approved requirements and is ready to support higher-level functional, integration, and user acceptance testing.</t>
  </si>
  <si>
    <r>
      <rPr>
        <rFont val="Inter Tight"/>
        <b/>
        <color rgb="FFFFFFFF"/>
        <sz val="12.0"/>
      </rPr>
      <t xml:space="preserve">KEY FINDINGS </t>
    </r>
    <r>
      <rPr>
        <rFont val="Inter Tight"/>
        <color rgb="FFFFFFFF"/>
        <sz val="12.0"/>
      </rPr>
      <t xml:space="preserve"> </t>
    </r>
    <r>
      <rPr>
        <rFont val="Inter Tight"/>
        <color rgb="FFFFFFFF"/>
        <sz val="10.0"/>
      </rPr>
      <t>Summary of major issues and observations</t>
    </r>
  </si>
  <si>
    <r>
      <rPr>
        <rFont val="Inter Tight"/>
        <b/>
        <color rgb="FFFFFFFF"/>
        <sz val="12.0"/>
      </rPr>
      <t>RECOMMENDATIONS</t>
    </r>
    <r>
      <rPr>
        <rFont val="Inter Tight"/>
        <color rgb="FFFFFFFF"/>
        <sz val="12.0"/>
      </rPr>
      <t xml:space="preserve">  </t>
    </r>
    <r>
      <rPr>
        <rFont val="Inter Tight"/>
        <color rgb="FFFFFFFF"/>
        <sz val="10.0"/>
      </rPr>
      <t>Suggestions for improvement</t>
    </r>
  </si>
  <si>
    <r>
      <rPr>
        <rFont val="Inter Tight"/>
        <b/>
        <color rgb="FFFFFFFF"/>
        <sz val="12.0"/>
      </rPr>
      <t>CONCLUSION</t>
    </r>
    <r>
      <rPr>
        <rFont val="Inter Tight"/>
        <color rgb="FFFFFFFF"/>
        <sz val="12.0"/>
      </rPr>
      <t xml:space="preserve">  </t>
    </r>
    <r>
      <rPr>
        <rFont val="Inter Tight"/>
        <color rgb="FFFFFFFF"/>
        <sz val="10.0"/>
      </rPr>
      <t>Overall assessment and next steps</t>
    </r>
  </si>
  <si>
    <t>Dashboard Data</t>
  </si>
  <si>
    <t>DEFECT SUMMARY</t>
  </si>
  <si>
    <t>TEST EXECUTION SUMMARY</t>
  </si>
  <si>
    <t>CRITICALITY SUMMARY</t>
  </si>
  <si>
    <t>TOTAL No. of DEFECTS</t>
  </si>
  <si>
    <t>TOTAL No. of  TESTS</t>
  </si>
  <si>
    <t>Low</t>
  </si>
  <si>
    <t>Open</t>
  </si>
  <si>
    <t>PASSED</t>
  </si>
  <si>
    <t>Medium</t>
  </si>
  <si>
    <t>FAILED</t>
  </si>
  <si>
    <t>High</t>
  </si>
  <si>
    <t>Closed</t>
  </si>
  <si>
    <t>Blocked</t>
  </si>
  <si>
    <t>Minor</t>
  </si>
  <si>
    <t>Not Executed</t>
  </si>
  <si>
    <t>Major</t>
  </si>
  <si>
    <t>Critical</t>
  </si>
  <si>
    <t xml:space="preserve">Defect Tracking Data </t>
  </si>
  <si>
    <t>Defect 
ID</t>
  </si>
  <si>
    <t>DATE
DETECTED</t>
  </si>
  <si>
    <t>DESCRIPTION</t>
  </si>
  <si>
    <t>DATA POINT 2</t>
  </si>
  <si>
    <t>DATA POINT 3</t>
  </si>
  <si>
    <t>JAM LINK</t>
  </si>
  <si>
    <t>DEFECT 
STATUS</t>
  </si>
  <si>
    <t>DEFECT 
SEVERITY</t>
  </si>
  <si>
    <t>OWNER</t>
  </si>
  <si>
    <t xml:space="preserve">Test Execution Data </t>
  </si>
  <si>
    <t>Test Case 
ID</t>
  </si>
  <si>
    <t>DATE</t>
  </si>
  <si>
    <t>TEST STEPS</t>
  </si>
  <si>
    <t>EXPECTED 
RESULT</t>
  </si>
  <si>
    <t>ACTUAL 
RESULT</t>
  </si>
  <si>
    <t>EXECUTION STATUS</t>
  </si>
  <si>
    <t>CRITICALITY</t>
  </si>
  <si>
    <t>TESTED BY</t>
  </si>
  <si>
    <t>CA-01</t>
  </si>
  <si>
    <t>Security</t>
  </si>
  <si>
    <r>
      <rPr>
        <rFont val="Inter Tight"/>
        <b/>
        <color theme="1"/>
        <sz val="10.0"/>
      </rPr>
      <t xml:space="preserve">User Authentication Validation
</t>
    </r>
    <r>
      <rPr>
        <rFont val="Inter Tight"/>
        <color theme="1"/>
        <sz val="10.0"/>
      </rPr>
      <t>Verify that only valid credentials allow system access.</t>
    </r>
  </si>
  <si>
    <t>1. Enter valid username and password
2. Attempt login</t>
  </si>
  <si>
    <t>- User successfully authenticated and redirected to assigned homepage
- Invalid credentials are rejected with an error message</t>
  </si>
  <si>
    <t>CA-02</t>
  </si>
  <si>
    <r>
      <rPr>
        <rFont val="Inter Tight"/>
        <b/>
        <color theme="1"/>
        <sz val="10.0"/>
      </rPr>
      <t xml:space="preserve">Role-Based Access Control Enforcement
</t>
    </r>
    <r>
      <rPr>
        <rFont val="Inter Tight"/>
        <b val="0"/>
        <color theme="1"/>
        <sz val="10.0"/>
      </rPr>
      <t>Ensure users can only access features permitted by their role</t>
    </r>
  </si>
  <si>
    <t>1. Login as Receptionist
2. Attempt to access to sample module</t>
  </si>
  <si>
    <t>- Access is denied
- System displays "Insufficient permissions" message</t>
  </si>
  <si>
    <t>CA-03</t>
  </si>
  <si>
    <r>
      <rPr>
        <rFont val="Inter Tight"/>
        <b/>
        <color theme="1"/>
        <sz val="10.0"/>
      </rPr>
      <t xml:space="preserve">Session Timeout Handling
</t>
    </r>
    <r>
      <rPr>
        <rFont val="Inter Tight"/>
        <b val="0"/>
        <color theme="1"/>
        <sz val="10.0"/>
      </rPr>
      <t>Verify automatic logout after inactivity period</t>
    </r>
  </si>
  <si>
    <t>1. Login to the system
2. Remain idle for configured timeout duration</t>
  </si>
  <si>
    <t>- User session expires
- User is redirected to login screen</t>
  </si>
  <si>
    <t>CA-04</t>
  </si>
  <si>
    <t>Performance</t>
  </si>
  <si>
    <r>
      <rPr>
        <rFont val="Inter Tight"/>
        <b/>
        <color theme="1"/>
        <sz val="10.0"/>
      </rPr>
      <t xml:space="preserve">Concurrent User Load Handling 
</t>
    </r>
    <r>
      <rPr>
        <rFont val="Inter Tight"/>
        <b val="0"/>
        <color theme="1"/>
        <sz val="10.0"/>
      </rPr>
      <t>Ensure system remains stable under expected concurrent users</t>
    </r>
  </si>
  <si>
    <t>1. Simulate 50 concurrent logins
2. Perform basic navigation and transactions</t>
  </si>
  <si>
    <t>- No system crashes
- Response time degradation ≤ 20%</t>
  </si>
  <si>
    <t>CA-05</t>
  </si>
  <si>
    <t>Configuration</t>
  </si>
  <si>
    <r>
      <rPr>
        <rFont val="Inter Tight"/>
        <b/>
        <color theme="1"/>
        <sz val="10.0"/>
      </rPr>
      <t xml:space="preserve">Configuration of Mandatory Fields
</t>
    </r>
    <r>
      <rPr>
        <rFont val="Inter Tight"/>
        <color theme="1"/>
        <sz val="10.0"/>
      </rPr>
      <t>Validate enforcement of required fields across modules</t>
    </r>
  </si>
  <si>
    <t>1. Attempt to save job order without required fields</t>
  </si>
  <si>
    <t>- System prevents saving
- Mandatory fields are highlighted</t>
  </si>
  <si>
    <t>CA-06</t>
  </si>
  <si>
    <r>
      <rPr>
        <rFont val="Inter Tight"/>
        <b/>
        <color theme="1"/>
        <sz val="10.0"/>
      </rPr>
      <t xml:space="preserve">Environment Configuration Validation
</t>
    </r>
    <r>
      <rPr>
        <rFont val="Inter Tight"/>
        <color theme="1"/>
        <sz val="10.0"/>
      </rPr>
      <t>Verify correct setup across environments (Dev, Test, Prod)</t>
    </r>
  </si>
  <si>
    <t>1. Deploy system to test environments
2. Verify database, API endpoints, and logging</t>
  </si>
  <si>
    <t>- System conncects to correct environment resources
- No cross-environment data leakage</t>
  </si>
  <si>
    <t>CA-07</t>
  </si>
  <si>
    <r>
      <rPr>
        <rFont val="Inter Tight"/>
        <b/>
        <color theme="1"/>
        <sz val="10.0"/>
      </rPr>
      <t xml:space="preserve">Error Logging and Monitoring
</t>
    </r>
    <r>
      <rPr>
        <rFont val="Inter Tight"/>
        <color theme="1"/>
        <sz val="10.0"/>
      </rPr>
      <t>Ensure system errors are logged correctly</t>
    </r>
  </si>
  <si>
    <t>1. Trigger a controlled system error
2. Check application logs</t>
  </si>
  <si>
    <t>- Error is logged with timestamp, user ID and module name</t>
  </si>
  <si>
    <t>CA-08</t>
  </si>
  <si>
    <t>Unit</t>
  </si>
  <si>
    <r>
      <rPr>
        <rFont val="Inter Tight"/>
        <b/>
        <color theme="1"/>
        <sz val="10.0"/>
      </rPr>
      <t xml:space="preserve">User Role Assignment Logic
</t>
    </r>
    <r>
      <rPr>
        <rFont val="Inter Tight"/>
        <color theme="1"/>
        <sz val="10.0"/>
      </rPr>
      <t>Validate that the system assigns the correct role upon user creation or update</t>
    </r>
  </si>
  <si>
    <t>1. Create a user with role = “Technician”
2. Retrieve user role from the system</t>
  </si>
  <si>
    <t>- User role is saved and returned exactly as assigned
- No default or unintended role is applied</t>
  </si>
  <si>
    <t>CA-09</t>
  </si>
  <si>
    <r>
      <rPr>
        <rFont val="Inter Tight"/>
        <b/>
        <color theme="1"/>
        <sz val="10.0"/>
      </rPr>
      <t xml:space="preserve">Password Hashing Verification
</t>
    </r>
    <r>
      <rPr>
        <rFont val="Inter Tight"/>
        <color theme="1"/>
        <sz val="10.0"/>
      </rPr>
      <t>Validate that passwords are not stored in plain text</t>
    </r>
  </si>
  <si>
    <t>1. Create user with password
2. Inspect stored password value</t>
  </si>
  <si>
    <t>- Stored value is hashed
- Plain text password is never persisted</t>
  </si>
  <si>
    <t>CA-10</t>
  </si>
  <si>
    <r>
      <rPr>
        <rFont val="Inter Tight"/>
        <b/>
        <color theme="1"/>
        <sz val="10.0"/>
      </rPr>
      <t xml:space="preserve">Login Attempt Lockout Logic
</t>
    </r>
    <r>
      <rPr>
        <rFont val="Inter Tight"/>
        <color theme="1"/>
        <sz val="10.0"/>
      </rPr>
      <t xml:space="preserve">
Verify that repeated failed login attempts trigger account lockout</t>
    </r>
  </si>
  <si>
    <t>1. Submit incorrect password for the same user account multiple times (5 attempts)
2. Attempt login again with correct credentials</t>
  </si>
  <si>
    <t>- Account is temporarily locked after the configured number of failed attempts
- System blocks login even with correct credentials until lockout period expires</t>
  </si>
  <si>
    <t>CA-11</t>
  </si>
  <si>
    <t>[Sprint 2] Order Fulfillment Test Summary Report</t>
  </si>
  <si>
    <r>
      <rPr>
        <rFont val="Inter Tight"/>
        <b/>
        <color rgb="FFFFFFFF"/>
        <sz val="12.0"/>
      </rPr>
      <t>TEST OBJECTIVES</t>
    </r>
    <r>
      <rPr>
        <rFont val="Inter Tight"/>
        <color rgb="FFFFFFFF"/>
        <sz val="12.0"/>
      </rPr>
      <t xml:space="preserve">  </t>
    </r>
    <r>
      <rPr>
        <rFont val="Inter Tight"/>
        <color rgb="FFFFFFFF"/>
        <sz val="10.0"/>
      </rPr>
      <t>Brief description of the testing goals</t>
    </r>
  </si>
  <si>
    <r>
      <rPr>
        <rFont val="Inter Tight"/>
        <b/>
        <color rgb="FFFFFFFF"/>
        <sz val="12.0"/>
      </rPr>
      <t xml:space="preserve">KEY FINDINGS </t>
    </r>
    <r>
      <rPr>
        <rFont val="Inter Tight"/>
        <color rgb="FFFFFFFF"/>
        <sz val="12.0"/>
      </rPr>
      <t xml:space="preserve"> </t>
    </r>
    <r>
      <rPr>
        <rFont val="Inter Tight"/>
        <color rgb="FFFFFFFF"/>
        <sz val="10.0"/>
      </rPr>
      <t>Summary of major issues and observations</t>
    </r>
  </si>
  <si>
    <r>
      <rPr>
        <rFont val="Inter Tight"/>
        <b/>
        <color rgb="FFFFFFFF"/>
        <sz val="12.0"/>
      </rPr>
      <t>RECOMMENDATIONS</t>
    </r>
    <r>
      <rPr>
        <rFont val="Inter Tight"/>
        <color rgb="FFFFFFFF"/>
        <sz val="12.0"/>
      </rPr>
      <t xml:space="preserve">  </t>
    </r>
    <r>
      <rPr>
        <rFont val="Inter Tight"/>
        <color rgb="FFFFFFFF"/>
        <sz val="10.0"/>
      </rPr>
      <t>Suggestions for improvement</t>
    </r>
  </si>
  <si>
    <r>
      <rPr>
        <rFont val="Inter Tight"/>
        <b/>
        <color rgb="FFFFFFFF"/>
        <sz val="12.0"/>
      </rPr>
      <t>CONCLUSION</t>
    </r>
    <r>
      <rPr>
        <rFont val="Inter Tight"/>
        <color rgb="FFFFFFFF"/>
        <sz val="12.0"/>
      </rPr>
      <t xml:space="preserve">  </t>
    </r>
    <r>
      <rPr>
        <rFont val="Inter Tight"/>
        <color rgb="FFFFFFFF"/>
        <sz val="10.0"/>
      </rPr>
      <t>Overall assessment and next steps</t>
    </r>
  </si>
  <si>
    <t>[Sprint 3] Inventory Test Summary Report</t>
  </si>
  <si>
    <r>
      <rPr>
        <rFont val="Inter Tight"/>
        <b/>
        <color rgb="FFFFFFFF"/>
        <sz val="12.0"/>
      </rPr>
      <t>TEST OBJECTIVES</t>
    </r>
    <r>
      <rPr>
        <rFont val="Inter Tight"/>
        <color rgb="FFFFFFFF"/>
        <sz val="12.0"/>
      </rPr>
      <t xml:space="preserve">  </t>
    </r>
    <r>
      <rPr>
        <rFont val="Inter Tight"/>
        <color rgb="FFFFFFFF"/>
        <sz val="10.0"/>
      </rPr>
      <t>Brief description of the testing goals</t>
    </r>
  </si>
  <si>
    <r>
      <rPr>
        <rFont val="Inter Tight"/>
        <b/>
        <color rgb="FFFFFFFF"/>
        <sz val="12.0"/>
      </rPr>
      <t xml:space="preserve">KEY FINDINGS </t>
    </r>
    <r>
      <rPr>
        <rFont val="Inter Tight"/>
        <color rgb="FFFFFFFF"/>
        <sz val="12.0"/>
      </rPr>
      <t xml:space="preserve"> </t>
    </r>
    <r>
      <rPr>
        <rFont val="Inter Tight"/>
        <color rgb="FFFFFFFF"/>
        <sz val="10.0"/>
      </rPr>
      <t>Summary of major issues and observations</t>
    </r>
  </si>
  <si>
    <r>
      <rPr>
        <rFont val="Inter Tight"/>
        <b/>
        <color rgb="FFFFFFFF"/>
        <sz val="12.0"/>
      </rPr>
      <t>RECOMMENDATIONS</t>
    </r>
    <r>
      <rPr>
        <rFont val="Inter Tight"/>
        <color rgb="FFFFFFFF"/>
        <sz val="12.0"/>
      </rPr>
      <t xml:space="preserve">  </t>
    </r>
    <r>
      <rPr>
        <rFont val="Inter Tight"/>
        <color rgb="FFFFFFFF"/>
        <sz val="10.0"/>
      </rPr>
      <t>Suggestions for improvement</t>
    </r>
  </si>
  <si>
    <r>
      <rPr>
        <rFont val="Inter Tight"/>
        <b/>
        <color rgb="FFFFFFFF"/>
        <sz val="12.0"/>
      </rPr>
      <t>CONCLUSION</t>
    </r>
    <r>
      <rPr>
        <rFont val="Inter Tight"/>
        <color rgb="FFFFFFFF"/>
        <sz val="12.0"/>
      </rPr>
      <t xml:space="preserve">  </t>
    </r>
    <r>
      <rPr>
        <rFont val="Inter Tight"/>
        <color rgb="FFFFFFFF"/>
        <sz val="10.0"/>
      </rPr>
      <t>Overall assessment and next steps</t>
    </r>
  </si>
  <si>
    <t>[Sprint 4] Customer Management Test Summary Report</t>
  </si>
  <si>
    <r>
      <rPr>
        <rFont val="Inter Tight"/>
        <b/>
        <color rgb="FFFFFFFF"/>
        <sz val="12.0"/>
      </rPr>
      <t>TEST OBJECTIVES</t>
    </r>
    <r>
      <rPr>
        <rFont val="Inter Tight"/>
        <color rgb="FFFFFFFF"/>
        <sz val="12.0"/>
      </rPr>
      <t xml:space="preserve">  </t>
    </r>
    <r>
      <rPr>
        <rFont val="Inter Tight"/>
        <color rgb="FFFFFFFF"/>
        <sz val="10.0"/>
      </rPr>
      <t>Brief description of the testing goals</t>
    </r>
  </si>
  <si>
    <r>
      <rPr>
        <rFont val="Inter Tight"/>
        <b/>
        <color rgb="FFFFFFFF"/>
        <sz val="12.0"/>
      </rPr>
      <t xml:space="preserve">KEY FINDINGS </t>
    </r>
    <r>
      <rPr>
        <rFont val="Inter Tight"/>
        <color rgb="FFFFFFFF"/>
        <sz val="12.0"/>
      </rPr>
      <t xml:space="preserve"> </t>
    </r>
    <r>
      <rPr>
        <rFont val="Inter Tight"/>
        <color rgb="FFFFFFFF"/>
        <sz val="10.0"/>
      </rPr>
      <t>Summary of major issues and observations</t>
    </r>
  </si>
  <si>
    <r>
      <rPr>
        <rFont val="Inter Tight"/>
        <b/>
        <color rgb="FFFFFFFF"/>
        <sz val="12.0"/>
      </rPr>
      <t>RECOMMENDATIONS</t>
    </r>
    <r>
      <rPr>
        <rFont val="Inter Tight"/>
        <color rgb="FFFFFFFF"/>
        <sz val="12.0"/>
      </rPr>
      <t xml:space="preserve">  </t>
    </r>
    <r>
      <rPr>
        <rFont val="Inter Tight"/>
        <color rgb="FFFFFFFF"/>
        <sz val="10.0"/>
      </rPr>
      <t>Suggestions for improvement</t>
    </r>
  </si>
  <si>
    <r>
      <rPr>
        <rFont val="Inter Tight"/>
        <b/>
        <color rgb="FFFFFFFF"/>
        <sz val="12.0"/>
      </rPr>
      <t>CONCLUSION</t>
    </r>
    <r>
      <rPr>
        <rFont val="Inter Tight"/>
        <color rgb="FFFFFFFF"/>
        <sz val="12.0"/>
      </rPr>
      <t xml:space="preserve">  </t>
    </r>
    <r>
      <rPr>
        <rFont val="Inter Tight"/>
        <color rgb="FFFFFFFF"/>
        <sz val="10.0"/>
      </rPr>
      <t>Overall assessment and next steps</t>
    </r>
  </si>
  <si>
    <t>[Sprint 5] Reporting &amp; Analytics Test Summary Report</t>
  </si>
  <si>
    <r>
      <rPr>
        <rFont val="Inter Tight"/>
        <b/>
        <color rgb="FFFFFFFF"/>
        <sz val="12.0"/>
      </rPr>
      <t>TEST OBJECTIVES</t>
    </r>
    <r>
      <rPr>
        <rFont val="Inter Tight"/>
        <color rgb="FFFFFFFF"/>
        <sz val="12.0"/>
      </rPr>
      <t xml:space="preserve">  </t>
    </r>
    <r>
      <rPr>
        <rFont val="Inter Tight"/>
        <color rgb="FFFFFFFF"/>
        <sz val="10.0"/>
      </rPr>
      <t>Brief description of the testing goals</t>
    </r>
  </si>
  <si>
    <r>
      <rPr>
        <rFont val="Inter Tight"/>
        <b/>
        <color rgb="FFFFFFFF"/>
        <sz val="12.0"/>
      </rPr>
      <t xml:space="preserve">KEY FINDINGS </t>
    </r>
    <r>
      <rPr>
        <rFont val="Inter Tight"/>
        <color rgb="FFFFFFFF"/>
        <sz val="12.0"/>
      </rPr>
      <t xml:space="preserve"> </t>
    </r>
    <r>
      <rPr>
        <rFont val="Inter Tight"/>
        <color rgb="FFFFFFFF"/>
        <sz val="10.0"/>
      </rPr>
      <t>Summary of major issues and observations</t>
    </r>
  </si>
  <si>
    <r>
      <rPr>
        <rFont val="Inter Tight"/>
        <b/>
        <color rgb="FFFFFFFF"/>
        <sz val="12.0"/>
      </rPr>
      <t>RECOMMENDATIONS</t>
    </r>
    <r>
      <rPr>
        <rFont val="Inter Tight"/>
        <color rgb="FFFFFFFF"/>
        <sz val="12.0"/>
      </rPr>
      <t xml:space="preserve">  </t>
    </r>
    <r>
      <rPr>
        <rFont val="Inter Tight"/>
        <color rgb="FFFFFFFF"/>
        <sz val="10.0"/>
      </rPr>
      <t>Suggestions for improvement</t>
    </r>
  </si>
  <si>
    <r>
      <rPr>
        <rFont val="Inter Tight"/>
        <b/>
        <color rgb="FFFFFFFF"/>
        <sz val="12.0"/>
      </rPr>
      <t>CONCLUSION</t>
    </r>
    <r>
      <rPr>
        <rFont val="Inter Tight"/>
        <color rgb="FFFFFFFF"/>
        <sz val="12.0"/>
      </rPr>
      <t xml:space="preserve">  </t>
    </r>
    <r>
      <rPr>
        <rFont val="Inter Tight"/>
        <color rgb="FFFFFFFF"/>
        <sz val="10.0"/>
      </rPr>
      <t>Overall assessment and next steps</t>
    </r>
  </si>
  <si>
    <t>[Sprint Week] Test Summary Report</t>
  </si>
  <si>
    <r>
      <rPr>
        <rFont val="Inter Tight"/>
        <b/>
        <color rgb="FFFFFFFF"/>
        <sz val="12.0"/>
      </rPr>
      <t>TEST OBJECTIVES</t>
    </r>
    <r>
      <rPr>
        <rFont val="Inter Tight"/>
        <color rgb="FFFFFFFF"/>
        <sz val="12.0"/>
      </rPr>
      <t xml:space="preserve">  </t>
    </r>
    <r>
      <rPr>
        <rFont val="Inter Tight"/>
        <color rgb="FFFFFFFF"/>
        <sz val="10.0"/>
      </rPr>
      <t>Brief description of the testing goals</t>
    </r>
  </si>
  <si>
    <r>
      <rPr>
        <rFont val="Inter Tight"/>
        <b/>
        <color rgb="FFFFFFFF"/>
        <sz val="12.0"/>
      </rPr>
      <t xml:space="preserve">KEY FINDINGS </t>
    </r>
    <r>
      <rPr>
        <rFont val="Inter Tight"/>
        <color rgb="FFFFFFFF"/>
        <sz val="12.0"/>
      </rPr>
      <t xml:space="preserve"> </t>
    </r>
    <r>
      <rPr>
        <rFont val="Inter Tight"/>
        <color rgb="FFFFFFFF"/>
        <sz val="10.0"/>
      </rPr>
      <t>Summary of major issues and observations</t>
    </r>
  </si>
  <si>
    <r>
      <rPr>
        <rFont val="Inter Tight"/>
        <b/>
        <color rgb="FFFFFFFF"/>
        <sz val="12.0"/>
      </rPr>
      <t>RECOMMENDATIONS</t>
    </r>
    <r>
      <rPr>
        <rFont val="Inter Tight"/>
        <color rgb="FFFFFFFF"/>
        <sz val="12.0"/>
      </rPr>
      <t xml:space="preserve">  </t>
    </r>
    <r>
      <rPr>
        <rFont val="Inter Tight"/>
        <color rgb="FFFFFFFF"/>
        <sz val="10.0"/>
      </rPr>
      <t>Suggestions for improvement</t>
    </r>
  </si>
  <si>
    <r>
      <rPr>
        <rFont val="Inter Tight"/>
        <b/>
        <color rgb="FFFFFFFF"/>
        <sz val="12.0"/>
      </rPr>
      <t>CONCLUSION</t>
    </r>
    <r>
      <rPr>
        <rFont val="Inter Tight"/>
        <color rgb="FFFFFFFF"/>
        <sz val="12.0"/>
      </rPr>
      <t xml:space="preserve">  </t>
    </r>
    <r>
      <rPr>
        <rFont val="Inter Tight"/>
        <color rgb="FFFFFFFF"/>
        <sz val="10.0"/>
      </rPr>
      <t>Overall assessment and next steps</t>
    </r>
  </si>
  <si>
    <t>Agile Test Summary Report Template – Example</t>
  </si>
  <si>
    <t xml:space="preserve">User to enter Defect Tracking and Text Execution information in the data tables below.  
Dashboard data, charts, and graphs will populate automatically. </t>
  </si>
  <si>
    <t>EV Charging System Testing Report</t>
  </si>
  <si>
    <t>Positive Charge EV Charging System</t>
  </si>
  <si>
    <t>Mateus Tobin</t>
  </si>
  <si>
    <t>07/15/20XX</t>
  </si>
  <si>
    <t>06/01/20XX</t>
  </si>
  <si>
    <t>07/14/20XX</t>
  </si>
  <si>
    <r>
      <rPr>
        <rFont val="Century Gothic"/>
        <color theme="1"/>
        <sz val="12.0"/>
      </rPr>
      <t xml:space="preserve">TEST OBJECTIVES  </t>
    </r>
    <r>
      <rPr>
        <rFont val="Century GothiC "/>
        <color theme="1"/>
        <sz val="10.0"/>
      </rPr>
      <t>Brief description of the testing goals</t>
    </r>
  </si>
  <si>
    <t>Ensure the EV charging system operates reliably and efficiently, verify user interface functionality, initiate charging session, and ensure backend data processing.</t>
  </si>
  <si>
    <r>
      <rPr>
        <rFont val="Century Gothic"/>
        <color theme="1"/>
        <sz val="12.0"/>
      </rPr>
      <t xml:space="preserve">KEY FINDINGS  </t>
    </r>
    <r>
      <rPr>
        <rFont val="Century GothiC "/>
        <color theme="1"/>
        <sz val="10.0"/>
      </rPr>
      <t>Summary of major issues and observations</t>
    </r>
  </si>
  <si>
    <t>– There are some issues with charging session initiation.
– Some users experience login failures.</t>
  </si>
  <si>
    <r>
      <rPr>
        <rFont val="Century Gothic"/>
        <color theme="1"/>
        <sz val="12.0"/>
      </rPr>
      <t xml:space="preserve">RECOMMENDATIONS  </t>
    </r>
    <r>
      <rPr>
        <rFont val="Century GothiC "/>
        <color theme="1"/>
        <sz val="10.0"/>
      </rPr>
      <t>Suggestions for improvement</t>
    </r>
  </si>
  <si>
    <t>– Investigate and resolve the charging session initiation issue.
– Enhance the user authentication process.</t>
  </si>
  <si>
    <r>
      <rPr>
        <rFont val="Century Gothic"/>
        <color theme="1"/>
        <sz val="12.0"/>
      </rPr>
      <t xml:space="preserve">CONCLUSION  </t>
    </r>
    <r>
      <rPr>
        <rFont val="Century GothiC "/>
        <color theme="1"/>
        <sz val="10.0"/>
      </rPr>
      <t>Overall assessment and next steps</t>
    </r>
  </si>
  <si>
    <t>Overall, the system performs well, and critical issues have been identified for resolution. Next steps include addressing the defects and re–testing.</t>
  </si>
  <si>
    <t>DEF001</t>
  </si>
  <si>
    <t>00/00/0000</t>
  </si>
  <si>
    <t>DEF002</t>
  </si>
  <si>
    <t>DEF003</t>
  </si>
  <si>
    <t>DEF004</t>
  </si>
  <si>
    <t>DEF005</t>
  </si>
  <si>
    <t>DEF006</t>
  </si>
  <si>
    <t>DEF007</t>
  </si>
  <si>
    <t>DEF008</t>
  </si>
  <si>
    <t>DEF009</t>
  </si>
  <si>
    <t>DEF010</t>
  </si>
  <si>
    <t>DEF011</t>
  </si>
  <si>
    <t>DEF012</t>
  </si>
  <si>
    <t>DEF013</t>
  </si>
  <si>
    <t>DEF014</t>
  </si>
  <si>
    <t>DEF015</t>
  </si>
  <si>
    <t>DEF016</t>
  </si>
  <si>
    <t>DEF017</t>
  </si>
  <si>
    <t>DEF018</t>
  </si>
  <si>
    <t>DEF019</t>
  </si>
  <si>
    <t>DEF020</t>
  </si>
  <si>
    <t>DEF021</t>
  </si>
  <si>
    <t>DEF022</t>
  </si>
  <si>
    <t>DEF023</t>
  </si>
  <si>
    <t>DEF024</t>
  </si>
  <si>
    <t>DEF025</t>
  </si>
  <si>
    <t>TC001</t>
  </si>
  <si>
    <t>Verify user login functionality.</t>
  </si>
  <si>
    <t>None</t>
  </si>
  <si>
    <t>TC002</t>
  </si>
  <si>
    <t>Verify initiation of charging session.</t>
  </si>
  <si>
    <t>Charging session does not start for some users.</t>
  </si>
  <si>
    <t>TC003</t>
  </si>
  <si>
    <t>TC004</t>
  </si>
  <si>
    <t>TC005</t>
  </si>
  <si>
    <t>TC006</t>
  </si>
  <si>
    <t>TC007</t>
  </si>
  <si>
    <t>TC008</t>
  </si>
  <si>
    <t>TC009</t>
  </si>
  <si>
    <t>TC010</t>
  </si>
  <si>
    <t>TC011</t>
  </si>
  <si>
    <t>TC012</t>
  </si>
  <si>
    <t>TC013</t>
  </si>
  <si>
    <t>TC014</t>
  </si>
  <si>
    <t>TC015</t>
  </si>
  <si>
    <t>TC016</t>
  </si>
  <si>
    <t>TC017</t>
  </si>
  <si>
    <t>TC018</t>
  </si>
  <si>
    <t>TC019</t>
  </si>
  <si>
    <t>TC020</t>
  </si>
  <si>
    <t>TC021</t>
  </si>
  <si>
    <t>TC022</t>
  </si>
  <si>
    <t>TC023</t>
  </si>
  <si>
    <t>TC024</t>
  </si>
  <si>
    <t>TC025</t>
  </si>
  <si>
    <t>TC026</t>
  </si>
  <si>
    <t>TC027</t>
  </si>
  <si>
    <t>TC028</t>
  </si>
  <si>
    <t>TC029</t>
  </si>
  <si>
    <t>TC030</t>
  </si>
  <si>
    <t>TC031</t>
  </si>
  <si>
    <t>TC032</t>
  </si>
  <si>
    <t>TC033</t>
  </si>
  <si>
    <t>TC034</t>
  </si>
  <si>
    <t>TC035</t>
  </si>
  <si>
    <t>TC036</t>
  </si>
  <si>
    <t>TC037</t>
  </si>
  <si>
    <t>TC038</t>
  </si>
  <si>
    <t>TC039</t>
  </si>
  <si>
    <t>TC040</t>
  </si>
  <si>
    <t>TC041</t>
  </si>
  <si>
    <t>TC042</t>
  </si>
  <si>
    <t>TC043</t>
  </si>
  <si>
    <t>TC044</t>
  </si>
  <si>
    <t>TC045</t>
  </si>
  <si>
    <t>TC046</t>
  </si>
  <si>
    <t>TC047</t>
  </si>
  <si>
    <t>TC048</t>
  </si>
  <si>
    <t>TC049</t>
  </si>
  <si>
    <t>TC050</t>
  </si>
  <si>
    <t>TC051</t>
  </si>
  <si>
    <t>TC052</t>
  </si>
  <si>
    <t>TC053</t>
  </si>
  <si>
    <t>TC054</t>
  </si>
  <si>
    <t>TC055</t>
  </si>
  <si>
    <t>TC056</t>
  </si>
  <si>
    <t>TC057</t>
  </si>
  <si>
    <t>TC058</t>
  </si>
  <si>
    <t>TC059</t>
  </si>
  <si>
    <t>TC060</t>
  </si>
  <si>
    <t>TC061</t>
  </si>
  <si>
    <t>TC062</t>
  </si>
  <si>
    <t>TC063</t>
  </si>
  <si>
    <t>TC064</t>
  </si>
  <si>
    <t>TC065</t>
  </si>
  <si>
    <t>TC066</t>
  </si>
  <si>
    <t>TC067</t>
  </si>
  <si>
    <t>TC068</t>
  </si>
  <si>
    <t>TC069</t>
  </si>
  <si>
    <t>TC070</t>
  </si>
  <si>
    <t>TC071</t>
  </si>
  <si>
    <t>TC072</t>
  </si>
  <si>
    <t>TC073</t>
  </si>
  <si>
    <t>TC074</t>
  </si>
  <si>
    <t>TC075</t>
  </si>
  <si>
    <t>TC076</t>
  </si>
  <si>
    <t>TC077</t>
  </si>
  <si>
    <t>TC078</t>
  </si>
  <si>
    <t>TC079</t>
  </si>
  <si>
    <t>TC080</t>
  </si>
  <si>
    <t>TC081</t>
  </si>
  <si>
    <t>TC082</t>
  </si>
  <si>
    <t>TC083</t>
  </si>
  <si>
    <t>TC084</t>
  </si>
  <si>
    <t>TC085</t>
  </si>
  <si>
    <t>TC086</t>
  </si>
  <si>
    <t>TC087</t>
  </si>
  <si>
    <t>TC088</t>
  </si>
  <si>
    <t>TC089</t>
  </si>
  <si>
    <t>TC090</t>
  </si>
  <si>
    <t>TC091</t>
  </si>
  <si>
    <t>TC092</t>
  </si>
  <si>
    <t>TC093</t>
  </si>
  <si>
    <t>TC094</t>
  </si>
  <si>
    <t>TC095</t>
  </si>
  <si>
    <t>TC096</t>
  </si>
  <si>
    <t>TC097</t>
  </si>
  <si>
    <t>TC098</t>
  </si>
  <si>
    <t>TC099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</si>
  <si>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</si>
  <si>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</si>
  <si>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</si>
  <si>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</si>
  <si>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</si>
  <si>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</si>
  <si>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</si>
  <si>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</si>
  <si>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</si>
  <si>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</si>
  <si>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</si>
  <si>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</si>
  <si>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</si>
  <si>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</si>
  <si>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</si>
  <si>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</si>
  <si>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</si>
  <si>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</si>
  <si>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</si>
  <si>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</si>
  <si>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</si>
  <si>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</si>
  <si>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</si>
  <si>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</si>
  <si>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</si>
  <si>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</si>
  <si>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</si>
  <si>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</si>
  <si>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</si>
  <si>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</si>
  <si>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</si>
  <si>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</si>
  <si>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</si>
  <si>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</si>
  <si>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</si>
  <si>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</si>
  <si>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</si>
  <si>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</si>
  <si>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</si>
  <si>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</si>
  <si>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</si>
  <si>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</si>
  <si>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</si>
  <si>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</si>
  <si>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</si>
  <si>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</si>
  <si>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</si>
  <si>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</si>
  <si>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</si>
  <si>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</si>
  <si>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</si>
  <si>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DROPDOWN KEYS</t>
  </si>
  <si>
    <t>EXECUTION 
STATUS</t>
  </si>
  <si>
    <t>IMPACT SEVERITY</t>
  </si>
  <si>
    <t>DEFECT SEVERITY</t>
  </si>
  <si>
    <t>IMPLEMENTATION STATUS</t>
  </si>
  <si>
    <t>TEST CASE STATUS</t>
  </si>
  <si>
    <t>N/A</t>
  </si>
  <si>
    <t>Planned</t>
  </si>
  <si>
    <t>Implemented</t>
  </si>
  <si>
    <t>Attempted</t>
  </si>
  <si>
    <t>Complete</t>
  </si>
  <si>
    <t>Needs Review</t>
  </si>
  <si>
    <t>Approved</t>
  </si>
  <si>
    <t>Overdue</t>
  </si>
  <si>
    <t>On Hold</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</si>
</sst>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mm d"/>
    <numFmt numFmtId="165" formatCode="0#"/>
    <numFmt numFmtId="166" formatCode="mm/dd/yyyy"/>
    <numFmt numFmtId="167" formatCode="M/d/yyyy"/>
    <numFmt numFmtId="168" formatCode="[$-F800]dddd\,\ mmmm\ dd\,\ yyyy"/>
  </numFmts>
  <fonts count="70">
    <font>
      <sz val="12.0"/>
      <color theme="1"/>
      <name val="Aptos Narrow"/>
      <scheme val="minor"/>
    </font>
    <font>
      <color theme="1"/>
      <name val="Arial"/>
    </font>
    <font>
      <b/>
      <color rgb="FFFFFFFF"/>
      <name val="Arial"/>
    </font>
    <font/>
    <font>
      <b/>
      <i/>
      <color rgb="FFD9D9D9"/>
      <name val="Arial"/>
    </font>
    <font>
      <color rgb="FF023E8A"/>
      <name val="Arial"/>
    </font>
    <font>
      <i/>
      <color rgb="FF023E8A"/>
      <name val="Arial"/>
    </font>
    <font>
      <b/>
      <sz val="12.0"/>
      <color rgb="FFFFFFFF"/>
      <name val="Arial"/>
    </font>
    <font>
      <sz val="14.0"/>
      <color theme="1"/>
      <name val="Karla"/>
    </font>
    <font>
      <color theme="1"/>
      <name val="Karla"/>
    </font>
    <font>
      <b/>
      <i/>
      <color rgb="FFFFFFFF"/>
      <name val="Inter Tight"/>
    </font>
    <font>
      <b/>
      <i/>
      <color rgb="FF1C406A"/>
      <name val="Inter Tight"/>
    </font>
    <font>
      <color rgb="FF1C406A"/>
      <name val="Inter Tight"/>
    </font>
    <font>
      <color theme="1"/>
      <name val="Inter Tight"/>
    </font>
    <font>
      <u/>
      <color rgb="FF1155CC"/>
      <name val="Arial"/>
    </font>
    <font>
      <u/>
      <color rgb="FF1155CC"/>
      <name val="Arial"/>
    </font>
    <font>
      <u/>
      <color rgb="FF1C406A"/>
      <name val="Inter Tight"/>
    </font>
    <font>
      <u/>
      <color theme="1"/>
      <name val="Inter Tight"/>
    </font>
    <font>
      <b/>
      <sz val="11.0"/>
      <color rgb="FFFFFFFF"/>
      <name val="Inter Tight"/>
    </font>
    <font>
      <color rgb="FF023E8A"/>
      <name val="Inter Tight"/>
    </font>
    <font>
      <sz val="8.0"/>
      <color theme="1"/>
      <name val="Inter Tight"/>
    </font>
    <font>
      <u/>
      <color theme="1"/>
      <name val="Inter Tight"/>
    </font>
    <font>
      <sz val="11.0"/>
      <color theme="1"/>
      <name val="Inter Tight"/>
    </font>
    <font>
      <b/>
      <sz val="11.0"/>
      <color rgb="FF000000"/>
      <name val="Inter Tight"/>
    </font>
    <font>
      <sz val="11.0"/>
      <color rgb="FF000000"/>
      <name val="Inter Tight"/>
    </font>
    <font>
      <b/>
      <sz val="23.0"/>
      <color rgb="FFFFFFFF"/>
      <name val="Inter Tight"/>
    </font>
    <font>
      <b/>
      <color rgb="FFFFFFFF"/>
      <name val="Inter Tight"/>
    </font>
    <font>
      <u/>
      <color rgb="FF0000FF"/>
      <name val="Inter Tight"/>
    </font>
    <font>
      <sz val="10.0"/>
      <color theme="1"/>
      <name val="Inter Tight"/>
    </font>
    <font>
      <sz val="13.0"/>
      <color rgb="FF595959"/>
      <name val="Inter Tight"/>
    </font>
    <font>
      <sz val="10.0"/>
      <color rgb="FFFFFFFF"/>
      <name val="Inter Tight"/>
    </font>
    <font>
      <sz val="16.0"/>
      <color rgb="FF595959"/>
      <name val="Inter Tight"/>
    </font>
    <font>
      <b/>
      <sz val="14.0"/>
      <color theme="1"/>
      <name val="Inter Tight"/>
    </font>
    <font>
      <sz val="26.0"/>
      <color theme="1"/>
      <name val="Inter Tight"/>
    </font>
    <font>
      <sz val="14.0"/>
      <color theme="1"/>
      <name val="Inter Tight"/>
    </font>
    <font>
      <sz val="12.0"/>
      <color theme="1"/>
      <name val="Inter Tight"/>
    </font>
    <font>
      <sz val="12.0"/>
      <color rgb="FFFFFFFF"/>
      <name val="Inter Tight"/>
    </font>
    <font>
      <sz val="13.0"/>
      <color theme="1"/>
      <name val="Inter Tight"/>
    </font>
    <font>
      <sz val="26.0"/>
      <color rgb="FF595959"/>
      <name val="Inter Tight"/>
    </font>
    <font>
      <sz val="15.0"/>
      <color theme="1"/>
      <name val="Inter Tight"/>
    </font>
    <font>
      <b/>
      <sz val="12.0"/>
      <color theme="1"/>
      <name val="Inter Tight"/>
    </font>
    <font>
      <sz val="12.0"/>
      <color rgb="FF000000"/>
      <name val="Inter Tight"/>
    </font>
    <font>
      <sz val="13.0"/>
      <color rgb="FF000000"/>
      <name val="Inter Tight"/>
    </font>
    <font>
      <sz val="13.0"/>
      <color theme="0"/>
      <name val="Inter Tight"/>
    </font>
    <font>
      <sz val="26.0"/>
      <color theme="6"/>
      <name val="Inter Tight"/>
    </font>
    <font>
      <b/>
      <sz val="11.0"/>
      <color theme="1"/>
      <name val="Inter Tight"/>
    </font>
    <font>
      <sz val="26.0"/>
      <color rgb="FF0B769F"/>
      <name val="Inter Tight"/>
    </font>
    <font>
      <b/>
      <sz val="10.0"/>
      <color theme="1"/>
      <name val="Inter Tight"/>
    </font>
    <font>
      <sz val="10.0"/>
      <color theme="1"/>
      <name val="Century Gothic"/>
    </font>
    <font>
      <b/>
      <sz val="23.0"/>
      <color rgb="FF595959"/>
      <name val="Century Gothic"/>
    </font>
    <font>
      <sz val="13.0"/>
      <color rgb="FF595959"/>
      <name val="Century Gothic"/>
    </font>
    <font>
      <sz val="16.0"/>
      <color rgb="FF595959"/>
      <name val="Century Gothic"/>
    </font>
    <font>
      <sz val="14.0"/>
      <color theme="1"/>
      <name val="Century Gothic"/>
    </font>
    <font>
      <sz val="26.0"/>
      <color theme="1"/>
      <name val="Century Gothic"/>
    </font>
    <font>
      <sz val="11.0"/>
      <color theme="1"/>
      <name val="Century Gothic"/>
    </font>
    <font>
      <sz val="12.0"/>
      <color theme="1"/>
      <name val="Century Gothic"/>
    </font>
    <font>
      <sz val="13.0"/>
      <color theme="1"/>
      <name val="Century Gothic"/>
    </font>
    <font>
      <sz val="12.0"/>
      <color theme="1"/>
      <name val="Aptos Narrow"/>
    </font>
    <font>
      <sz val="26.0"/>
      <color rgb="FF595959"/>
      <name val="Century Gothic"/>
    </font>
    <font>
      <sz val="15.0"/>
      <color theme="1"/>
      <name val="Century Gothic"/>
    </font>
    <font>
      <sz val="13.0"/>
      <color rgb="FF000000"/>
      <name val="Century Gothic"/>
    </font>
    <font>
      <sz val="12.0"/>
      <color rgb="FF000000"/>
      <name val="Century Gothic"/>
    </font>
    <font>
      <sz val="13.0"/>
      <color theme="0"/>
      <name val="Century Gothic"/>
    </font>
    <font>
      <sz val="26.0"/>
      <color theme="6"/>
      <name val="Century Gothic"/>
    </font>
    <font>
      <sz val="11.0"/>
      <color rgb="FF000000"/>
      <name val="Century Gothic"/>
    </font>
    <font>
      <sz val="26.0"/>
      <color rgb="FF0B769F"/>
      <name val="Century Gothic"/>
    </font>
    <font>
      <sz val="22.0"/>
      <color rgb="FF595959"/>
      <name val="Century Gothic"/>
    </font>
    <font>
      <b/>
      <sz val="20.0"/>
      <color rgb="FF7F7F7F"/>
      <name val="Century Gothic"/>
    </font>
    <font>
      <b/>
      <sz val="10.0"/>
      <color theme="1"/>
      <name val="Century Gothic"/>
    </font>
    <font>
      <sz val="10.0"/>
      <color rgb="FF000000"/>
      <name val="Century Gothic"/>
    </font>
  </fonts>
  <fills count="48">
    <fill>
      <patternFill patternType="none"/>
    </fill>
    <fill>
      <patternFill patternType="lightGray"/>
    </fill>
    <fill>
      <patternFill patternType="solid">
        <fgColor rgb="FF023E8A"/>
        <bgColor rgb="FF023E8A"/>
      </patternFill>
    </fill>
    <fill>
      <patternFill patternType="solid">
        <fgColor rgb="FFFFFFFF"/>
        <bgColor rgb="FFFFFFFF"/>
      </patternFill>
    </fill>
    <fill>
      <patternFill patternType="solid">
        <fgColor rgb="FF0C315C"/>
        <bgColor rgb="FF0C315C"/>
      </patternFill>
    </fill>
    <fill>
      <patternFill patternType="solid">
        <fgColor rgb="FFE68077"/>
        <bgColor rgb="FFE68077"/>
      </patternFill>
    </fill>
    <fill>
      <patternFill patternType="solid">
        <fgColor rgb="FFE7837A"/>
        <bgColor rgb="FFE7837A"/>
      </patternFill>
    </fill>
    <fill>
      <patternFill patternType="solid">
        <fgColor rgb="FFEA948C"/>
        <bgColor rgb="FFEA948C"/>
      </patternFill>
    </fill>
    <fill>
      <patternFill patternType="solid">
        <fgColor rgb="FFEB9A93"/>
        <bgColor rgb="FFEB9A93"/>
      </patternFill>
    </fill>
    <fill>
      <patternFill patternType="solid">
        <fgColor rgb="FFEC9F98"/>
        <bgColor rgb="FFEC9F98"/>
      </patternFill>
    </fill>
    <fill>
      <patternFill patternType="solid">
        <fgColor rgb="FFC9DAF8"/>
        <bgColor rgb="FFC9DAF8"/>
      </patternFill>
    </fill>
    <fill>
      <patternFill patternType="solid">
        <fgColor rgb="FF2C5589"/>
        <bgColor rgb="FF2C5589"/>
      </patternFill>
    </fill>
    <fill>
      <patternFill patternType="solid">
        <fgColor rgb="FFFFF2CC"/>
        <bgColor rgb="FFFFF2CC"/>
      </patternFill>
    </fill>
    <fill>
      <patternFill patternType="solid">
        <fgColor rgb="FFFFFCF3"/>
        <bgColor rgb="FFFFFCF3"/>
      </patternFill>
    </fill>
    <fill>
      <patternFill patternType="solid">
        <fgColor rgb="FFA4C2F4"/>
        <bgColor rgb="FFA4C2F4"/>
      </patternFill>
    </fill>
    <fill>
      <patternFill patternType="solid">
        <fgColor rgb="FFEFF6FC"/>
        <bgColor rgb="FFEFF6FC"/>
      </patternFill>
    </fill>
    <fill>
      <patternFill patternType="solid">
        <fgColor rgb="FFD5A6BD"/>
        <bgColor rgb="FFD5A6BD"/>
      </patternFill>
    </fill>
    <fill>
      <patternFill patternType="solid">
        <fgColor rgb="FFFFF3F8"/>
        <bgColor rgb="FFFFF3F8"/>
      </patternFill>
    </fill>
    <fill>
      <patternFill patternType="solid">
        <fgColor rgb="FFF9CB9C"/>
        <bgColor rgb="FFF9CB9C"/>
      </patternFill>
    </fill>
    <fill>
      <patternFill patternType="solid">
        <fgColor rgb="FFFCF0E4"/>
        <bgColor rgb="FFFCF0E4"/>
      </patternFill>
    </fill>
    <fill>
      <patternFill patternType="solid">
        <fgColor rgb="FFA2C4C9"/>
        <bgColor rgb="FFA2C4C9"/>
      </patternFill>
    </fill>
    <fill>
      <patternFill patternType="solid">
        <fgColor rgb="FFD0E0E3"/>
        <bgColor rgb="FFD0E0E3"/>
      </patternFill>
    </fill>
    <fill>
      <patternFill patternType="solid">
        <fgColor rgb="FFD0DFE3"/>
        <bgColor rgb="FFD0DFE3"/>
      </patternFill>
    </fill>
    <fill>
      <patternFill patternType="solid">
        <fgColor rgb="FFF2F2F2"/>
        <bgColor rgb="FFF2F2F2"/>
      </patternFill>
    </fill>
    <fill>
      <patternFill patternType="solid">
        <fgColor theme="0"/>
        <bgColor theme="0"/>
      </patternFill>
    </fill>
    <fill>
      <patternFill patternType="solid">
        <fgColor rgb="FF0B769F"/>
        <bgColor rgb="FF0B769F"/>
      </patternFill>
    </fill>
    <fill>
      <patternFill patternType="solid">
        <fgColor rgb="FFFFD655"/>
        <bgColor rgb="FFFFD655"/>
      </patternFill>
    </fill>
    <fill>
      <patternFill patternType="solid">
        <fgColor rgb="FFE4F7FE"/>
        <bgColor rgb="FFE4F7FE"/>
      </patternFill>
    </fill>
    <fill>
      <patternFill patternType="solid">
        <fgColor rgb="FFFFF7DB"/>
        <bgColor rgb="FFFFF7DB"/>
      </patternFill>
    </fill>
    <fill>
      <patternFill patternType="solid">
        <fgColor rgb="FFD0D0D0"/>
        <bgColor rgb="FFD0D0D0"/>
      </patternFill>
    </fill>
    <fill>
      <patternFill patternType="solid">
        <fgColor rgb="FFE8E8E8"/>
        <bgColor rgb="FFE8E8E8"/>
      </patternFill>
    </fill>
    <fill>
      <patternFill patternType="solid">
        <fgColor rgb="FFE4F6FD"/>
        <bgColor rgb="FFE4F6FD"/>
      </patternFill>
    </fill>
    <fill>
      <patternFill patternType="solid">
        <fgColor rgb="FFFFF6DA"/>
        <bgColor rgb="FFFFF6DA"/>
      </patternFill>
    </fill>
    <fill>
      <patternFill patternType="solid">
        <fgColor rgb="FF93D34A"/>
        <bgColor rgb="FF93D34A"/>
      </patternFill>
    </fill>
    <fill>
      <patternFill patternType="solid">
        <fgColor rgb="FFC3E28C"/>
        <bgColor rgb="FFC3E28C"/>
      </patternFill>
    </fill>
    <fill>
      <patternFill patternType="solid">
        <fgColor rgb="FF79D2F9"/>
        <bgColor rgb="FF79D2F9"/>
      </patternFill>
    </fill>
    <fill>
      <patternFill patternType="solid">
        <fgColor rgb="FFCAEDFB"/>
        <bgColor rgb="FFCAEDFB"/>
      </patternFill>
    </fill>
    <fill>
      <patternFill patternType="solid">
        <fgColor rgb="FFE1E1E1"/>
        <bgColor rgb="FFE1E1E1"/>
      </patternFill>
    </fill>
    <fill>
      <patternFill patternType="solid">
        <fgColor rgb="FFEEF9D8"/>
        <bgColor rgb="FFEEF9D8"/>
      </patternFill>
    </fill>
    <fill>
      <patternFill patternType="solid">
        <fgColor rgb="FFCEF0C2"/>
        <bgColor rgb="FFCEF0C2"/>
      </patternFill>
    </fill>
    <fill>
      <patternFill patternType="solid">
        <fgColor rgb="FF79D2F8"/>
        <bgColor rgb="FF79D2F8"/>
      </patternFill>
    </fill>
    <fill>
      <patternFill patternType="solid">
        <fgColor rgb="FF93DBF8"/>
        <bgColor rgb="FF93DBF8"/>
      </patternFill>
    </fill>
    <fill>
      <patternFill patternType="solid">
        <fgColor rgb="FFF1FAFE"/>
        <bgColor rgb="FFF1FAFE"/>
      </patternFill>
    </fill>
    <fill>
      <patternFill patternType="solid">
        <fgColor rgb="FFF2FAFF"/>
        <bgColor rgb="FFF2FAFF"/>
      </patternFill>
    </fill>
    <fill>
      <patternFill patternType="solid">
        <fgColor rgb="FF95DCF7"/>
        <bgColor rgb="FF95DCF7"/>
      </patternFill>
    </fill>
    <fill>
      <patternFill patternType="solid">
        <fgColor rgb="FF94DCF9"/>
        <bgColor rgb="FF94DCF9"/>
      </patternFill>
    </fill>
    <fill>
      <patternFill patternType="solid">
        <fgColor rgb="FFB6F0F8"/>
        <bgColor rgb="FFB6F0F8"/>
      </patternFill>
    </fill>
    <fill>
      <patternFill patternType="solid">
        <fgColor rgb="FFD8D8D8"/>
        <bgColor rgb="FFD8D8D8"/>
      </patternFill>
    </fill>
  </fills>
  <borders count="58">
    <border/>
    <border>
      <left style="thin">
        <color rgb="FF023E8A"/>
      </left>
      <right style="thin">
        <color rgb="FF023E8A"/>
      </right>
      <top style="thin">
        <color rgb="FF023E8A"/>
      </top>
      <bottom style="thin">
        <color rgb="FF023E8A"/>
      </bottom>
    </border>
    <border>
      <left style="thin">
        <color rgb="FF023E8A"/>
      </left>
      <top style="thin">
        <color rgb="FF023E8A"/>
      </top>
    </border>
    <border>
      <top style="thin">
        <color rgb="FF023E8A"/>
      </top>
    </border>
    <border>
      <right style="thin">
        <color rgb="FF023E8A"/>
      </right>
      <top style="thin">
        <color rgb="FF023E8A"/>
      </top>
    </border>
    <border>
      <left style="thin">
        <color rgb="FF023E8A"/>
      </left>
    </border>
    <border>
      <right style="thin">
        <color rgb="FF023E8A"/>
      </right>
    </border>
    <border>
      <left style="thin">
        <color rgb="FF023E8A"/>
      </left>
      <top style="thin">
        <color rgb="FF023E8A"/>
      </top>
      <bottom style="thin">
        <color rgb="FF023E8A"/>
      </bottom>
    </border>
    <border>
      <left style="thin">
        <color rgb="FF023E8A"/>
      </left>
      <right style="thin">
        <color rgb="FF023E8A"/>
      </right>
      <top style="thin">
        <color rgb="FF023E8A"/>
      </top>
      <bottom style="thin">
        <color rgb="FFFFFFFF"/>
      </bottom>
    </border>
    <border>
      <left style="thin">
        <color rgb="FF023E8A"/>
      </left>
      <top style="thin">
        <color rgb="FF023E8A"/>
      </top>
      <bottom style="thin">
        <color rgb="FFFFFFFF"/>
      </bottom>
    </border>
    <border>
      <right style="thin">
        <color rgb="FF023E8A"/>
      </right>
      <top style="thin">
        <color rgb="FF023E8A"/>
      </top>
      <bottom style="thin">
        <color rgb="FFFFFFFF"/>
      </bottom>
    </border>
    <border>
      <right style="thin">
        <color rgb="FF023E8A"/>
      </right>
      <top style="thin">
        <color rgb="FF023E8A"/>
      </top>
      <bottom style="thin">
        <color rgb="FF023E8A"/>
      </bottom>
    </border>
    <border>
      <left style="thin">
        <color rgb="FF023E8A"/>
      </left>
      <right style="thin">
        <color rgb="FF023E8A"/>
      </right>
      <bottom style="thin">
        <color rgb="FFFFFFFF"/>
      </bottom>
    </border>
    <border>
      <left style="thin">
        <color rgb="FF023E8A"/>
      </left>
      <bottom style="thin">
        <color rgb="FFFFFFFF"/>
      </bottom>
    </border>
    <border>
      <right style="thin">
        <color rgb="FF023E8A"/>
      </right>
      <bottom style="thin">
        <color rgb="FFFFFFFF"/>
      </bottom>
    </border>
    <border>
      <left style="thin">
        <color rgb="FF023E8A"/>
      </left>
      <right style="thin">
        <color rgb="FF023E8A"/>
      </right>
      <top style="thin">
        <color rgb="FFFFFFFF"/>
      </top>
      <bottom style="thin">
        <color rgb="FFFFFFFF"/>
      </bottom>
    </border>
    <border>
      <left style="thin">
        <color rgb="FF023E8A"/>
      </left>
      <right style="thin">
        <color rgb="FF023E8A"/>
      </right>
      <top style="thin">
        <color rgb="FFFFFFFF"/>
      </top>
      <bottom style="thin">
        <color rgb="FF023E8A"/>
      </bottom>
    </border>
    <border>
      <left style="thin">
        <color rgb="FF023E8A"/>
      </left>
      <right style="thin">
        <color rgb="FF023E8A"/>
      </right>
      <bottom style="thin">
        <color rgb="FF023E8A"/>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top/>
      <bottom/>
    </border>
    <border>
      <top/>
      <bottom/>
    </border>
    <border>
      <right/>
      <top/>
      <bottom/>
    </border>
    <border>
      <left style="thin">
        <color rgb="FF7F7F7F"/>
      </left>
      <right style="thin">
        <color rgb="FF7F7F7F"/>
      </right>
      <top style="thin">
        <color rgb="FF7F7F7F"/>
      </top>
      <bottom style="thin">
        <color rgb="FF7F7F7F"/>
      </bottom>
    </border>
    <border>
      <left/>
      <right/>
      <top/>
      <bottom/>
    </border>
    <border>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EFEFEF"/>
      </left>
      <right style="thin">
        <color rgb="FFEFEFEF"/>
      </right>
      <top style="thin">
        <color rgb="FFEFEFEF"/>
      </top>
      <bottom style="thin">
        <color rgb="FFEFEFEF"/>
      </bottom>
    </border>
    <border>
      <left style="thin">
        <color rgb="FFBFBFBF"/>
      </left>
      <top style="thin">
        <color rgb="FFBFBFBF"/>
      </top>
      <bottom style="medium">
        <color rgb="FFBFBFBF"/>
      </bottom>
    </border>
    <border>
      <top style="thin">
        <color rgb="FFBFBFBF"/>
      </top>
      <bottom style="medium">
        <color rgb="FFBFBFBF"/>
      </bottom>
    </border>
    <border>
      <right style="thin">
        <color rgb="FFBFBFBF"/>
      </right>
      <top style="thin">
        <color rgb="FFBFBFBF"/>
      </top>
      <bottom style="medium">
        <color rgb="FFBFBFBF"/>
      </bottom>
    </border>
    <border>
      <left style="thin">
        <color rgb="FFBFBFBF"/>
      </left>
      <top style="medium">
        <color rgb="FFBFBFBF"/>
      </top>
      <bottom style="thin">
        <color rgb="FFBFBFBF"/>
      </bottom>
    </border>
    <border>
      <top style="medium">
        <color rgb="FFBFBFBF"/>
      </top>
      <bottom style="thin">
        <color rgb="FFBFBFBF"/>
      </bottom>
    </border>
    <border>
      <right style="thin">
        <color rgb="FFBFBFBF"/>
      </right>
      <top style="medium">
        <color rgb="FFBFBFBF"/>
      </top>
      <bottom style="thin">
        <color rgb="FFBFBFBF"/>
      </bottom>
    </border>
    <border>
      <left style="thin">
        <color rgb="FFBFBFBF"/>
      </left>
      <right style="thin">
        <color rgb="FFBFBFBF"/>
      </right>
      <top style="thin">
        <color rgb="FFBFBFBF"/>
      </top>
      <bottom style="thin">
        <color rgb="FFBFBFBF"/>
      </bottom>
    </border>
    <border>
      <left/>
      <right style="thin">
        <color rgb="FFBFBFBF"/>
      </right>
      <top style="thin">
        <color rgb="FFBFBFBF"/>
      </top>
      <bottom style="thin">
        <color rgb="FFBFBFBF"/>
      </bottom>
    </border>
    <border>
      <left style="thin">
        <color rgb="FFBFBFBF"/>
      </left>
      <right style="thin">
        <color rgb="FFBFBFBF"/>
      </right>
      <top style="thin">
        <color rgb="FFBFBFBF"/>
      </top>
      <bottom style="medium">
        <color rgb="FFBFBFBF"/>
      </bottom>
    </border>
    <border>
      <left/>
      <right style="thin">
        <color rgb="FFBFBFBF"/>
      </right>
      <top style="thin">
        <color rgb="FFBFBFBF"/>
      </top>
      <bottom style="medium">
        <color rgb="FFBFBFBF"/>
      </bottom>
    </border>
    <border>
      <top style="thin">
        <color rgb="FFBFBFBF"/>
      </top>
    </border>
    <border>
      <left style="thin">
        <color rgb="FFBFBFBF"/>
      </left>
      <right style="thin">
        <color rgb="FFBFBFBF"/>
      </right>
      <top style="thick">
        <color rgb="FFBFBFBF"/>
      </top>
      <bottom style="medium">
        <color rgb="FFBFBFBF"/>
      </bottom>
    </border>
    <border>
      <left style="thin">
        <color rgb="FFBFBFBF"/>
      </left>
      <right style="thin">
        <color rgb="FFBFBFBF"/>
      </right>
      <top/>
      <bottom style="thin">
        <color rgb="FFBFBFBF"/>
      </bottom>
    </border>
    <border>
      <left style="thin">
        <color rgb="FFBFBFBF"/>
      </left>
      <right style="thin">
        <color rgb="FFBFBFBF"/>
      </right>
      <bottom style="thin">
        <color rgb="FFBFBFBF"/>
      </bottom>
    </border>
    <border>
      <left style="thin">
        <color rgb="FFBFBFBF"/>
      </left>
      <right style="thin">
        <color rgb="FFBFBFBF"/>
      </right>
      <top style="thick">
        <color rgb="FFBFBFBF"/>
      </top>
      <bottom style="thin">
        <color rgb="FFBFBFBF"/>
      </bottom>
    </border>
    <border>
      <left style="thin">
        <color rgb="FFEFEFEF"/>
      </left>
      <bottom style="thin">
        <color rgb="FFEFEFEF"/>
      </bottom>
    </border>
    <border>
      <left style="thin">
        <color rgb="FFEFEFEF"/>
      </left>
      <top style="thin">
        <color rgb="FFEFEFEF"/>
      </top>
      <bottom style="thin">
        <color rgb="FFEFEFEF"/>
      </bottom>
    </border>
    <border>
      <left style="thin">
        <color rgb="FFD9D9D9"/>
      </left>
      <right style="thin">
        <color rgb="FFD9D9D9"/>
      </right>
      <top style="thin">
        <color rgb="FFD9D9D9"/>
      </top>
      <bottom style="thin">
        <color rgb="FFD9D9D9"/>
      </bottom>
    </border>
    <border>
      <left style="thin">
        <color rgb="FFD9D9D9"/>
      </left>
      <bottom style="thin">
        <color rgb="FFD9D9D9"/>
      </bottom>
    </border>
    <border>
      <left style="thin">
        <color rgb="FFD9D9D9"/>
      </left>
      <top style="thin">
        <color rgb="FFD9D9D9"/>
      </top>
      <bottom style="thin">
        <color rgb="FFD9D9D9"/>
      </bottom>
    </border>
    <border>
      <left/>
      <top style="thin">
        <color rgb="FFBFBFBF"/>
      </top>
      <bottom style="thin">
        <color rgb="FFBFBFBF"/>
      </bottom>
    </border>
    <border>
      <left/>
      <top style="medium">
        <color rgb="FFBFBFBF"/>
      </top>
      <bottom style="thin">
        <color rgb="FFBFBFBF"/>
      </bottom>
    </border>
    <border>
      <left style="thin">
        <color rgb="FFBFBFBF"/>
      </left>
      <top style="medium">
        <color rgb="FFBFBFBF"/>
      </top>
      <bottom style="medium">
        <color rgb="FFBFBFBF"/>
      </bottom>
    </border>
    <border>
      <left style="thin">
        <color rgb="FFBFBFBF"/>
      </left>
    </border>
    <border>
      <left/>
      <right style="thin">
        <color rgb="FFBFBFBF"/>
      </right>
      <top style="medium">
        <color rgb="FFBFBFBF"/>
      </top>
      <bottom style="thin">
        <color rgb="FFBFBFBF"/>
      </bottom>
    </border>
    <border>
      <left style="thin">
        <color rgb="FFBFBFBF"/>
      </left>
      <right style="thin">
        <color rgb="FFBFBFBF"/>
      </right>
      <top style="medium">
        <color rgb="FFBFBFBF"/>
      </top>
      <bottom style="medium">
        <color rgb="FFBFBFBF"/>
      </bottom>
    </border>
  </borders>
  <cellStyleXfs count="1">
    <xf borderId="0" fillId="0" fontId="0" numFmtId="0" applyAlignment="1" applyFont="1"/>
  </cellStyleXfs>
  <cellXfs count="293">
    <xf borderId="0" fillId="0" fontId="0" numFmtId="0" xfId="0" applyAlignment="1" applyFont="1">
      <alignment readingOrder="0" shrinkToFit="0" vertical="bottom" wrapText="0"/>
    </xf>
    <xf borderId="1" fillId="2" fontId="1" numFmtId="0" xfId="0" applyAlignment="1" applyBorder="1" applyFill="1" applyFont="1">
      <alignment vertical="bottom"/>
    </xf>
    <xf borderId="2" fillId="2" fontId="2" numFmtId="0" xfId="0" applyAlignment="1" applyBorder="1" applyFont="1">
      <alignment horizontal="center"/>
    </xf>
    <xf borderId="3" fillId="0" fontId="3" numFmtId="0" xfId="0" applyBorder="1" applyFont="1"/>
    <xf borderId="4" fillId="0" fontId="3" numFmtId="0" xfId="0" applyBorder="1" applyFont="1"/>
    <xf borderId="5" fillId="0" fontId="3" numFmtId="0" xfId="0" applyBorder="1" applyFont="1"/>
    <xf borderId="6" fillId="0" fontId="3" numFmtId="0" xfId="0" applyBorder="1" applyFont="1"/>
    <xf borderId="7" fillId="2" fontId="1" numFmtId="0" xfId="0" applyAlignment="1" applyBorder="1" applyFont="1">
      <alignment vertical="bottom"/>
    </xf>
    <xf borderId="8" fillId="2" fontId="4" numFmtId="0" xfId="0" applyAlignment="1" applyBorder="1" applyFont="1">
      <alignment horizontal="center"/>
    </xf>
    <xf borderId="9" fillId="2" fontId="4" numFmtId="0" xfId="0" applyAlignment="1" applyBorder="1" applyFont="1">
      <alignment horizontal="center"/>
    </xf>
    <xf borderId="10" fillId="0" fontId="3" numFmtId="0" xfId="0" applyBorder="1" applyFont="1"/>
    <xf borderId="11" fillId="2" fontId="1" numFmtId="0" xfId="0" applyAlignment="1" applyBorder="1" applyFont="1">
      <alignment vertical="bottom"/>
    </xf>
    <xf borderId="12" fillId="3" fontId="5" numFmtId="0" xfId="0" applyAlignment="1" applyBorder="1" applyFill="1" applyFont="1">
      <alignment horizontal="center"/>
    </xf>
    <xf borderId="12" fillId="3" fontId="6" numFmtId="0" xfId="0" applyAlignment="1" applyBorder="1" applyFont="1">
      <alignment horizontal="center"/>
    </xf>
    <xf borderId="13" fillId="3" fontId="5" numFmtId="0" xfId="0" applyAlignment="1" applyBorder="1" applyFont="1">
      <alignment horizontal="center"/>
    </xf>
    <xf borderId="14" fillId="0" fontId="3" numFmtId="0" xfId="0" applyBorder="1" applyFont="1"/>
    <xf borderId="15" fillId="3" fontId="5" numFmtId="0" xfId="0" applyAlignment="1" applyBorder="1" applyFont="1">
      <alignment horizontal="center"/>
    </xf>
    <xf borderId="15" fillId="3" fontId="6" numFmtId="0" xfId="0" applyAlignment="1" applyBorder="1" applyFont="1">
      <alignment horizontal="center"/>
    </xf>
    <xf borderId="15" fillId="3" fontId="1" numFmtId="0" xfId="0" applyBorder="1" applyFont="1"/>
    <xf borderId="13" fillId="3" fontId="1" numFmtId="0" xfId="0" applyBorder="1" applyFont="1"/>
    <xf borderId="16" fillId="3" fontId="1" numFmtId="0" xfId="0" applyBorder="1" applyFont="1"/>
    <xf borderId="5" fillId="2" fontId="7" numFmtId="0" xfId="0" applyAlignment="1" applyBorder="1" applyFont="1">
      <alignment horizontal="center"/>
    </xf>
    <xf borderId="17" fillId="2" fontId="1" numFmtId="0" xfId="0" applyAlignment="1" applyBorder="1" applyFont="1">
      <alignment vertical="bottom"/>
    </xf>
    <xf borderId="0" fillId="3" fontId="8" numFmtId="0" xfId="0" applyAlignment="1" applyFont="1">
      <alignment shrinkToFit="0" vertical="top" wrapText="1"/>
    </xf>
    <xf borderId="0" fillId="0" fontId="9" numFmtId="0" xfId="0" applyAlignment="1" applyFont="1">
      <alignment vertical="bottom"/>
    </xf>
    <xf borderId="0" fillId="4" fontId="10" numFmtId="0" xfId="0" applyAlignment="1" applyFill="1" applyFont="1">
      <alignment horizontal="center" shrinkToFit="0" vertical="bottom" wrapText="1"/>
    </xf>
    <xf borderId="18" fillId="0" fontId="11" numFmtId="0" xfId="0" applyAlignment="1" applyBorder="1" applyFont="1">
      <alignment horizontal="center" shrinkToFit="0" vertical="bottom" wrapText="1"/>
    </xf>
    <xf borderId="19" fillId="0" fontId="3" numFmtId="0" xfId="0" applyBorder="1" applyFont="1"/>
    <xf borderId="20" fillId="0" fontId="11" numFmtId="0" xfId="0" applyAlignment="1" applyBorder="1" applyFont="1">
      <alignment horizontal="center" vertical="bottom"/>
    </xf>
    <xf borderId="18" fillId="0" fontId="11" numFmtId="0" xfId="0" applyAlignment="1" applyBorder="1" applyFont="1">
      <alignment horizontal="center" vertical="bottom"/>
    </xf>
    <xf borderId="0" fillId="0" fontId="12" numFmtId="0" xfId="0" applyAlignment="1" applyFont="1">
      <alignment shrinkToFit="0" vertical="bottom" wrapText="1"/>
    </xf>
    <xf borderId="0" fillId="0" fontId="12" numFmtId="164" xfId="0" applyAlignment="1" applyFont="1" applyNumberFormat="1">
      <alignment horizontal="center" vertical="bottom"/>
    </xf>
    <xf borderId="0" fillId="3" fontId="12" numFmtId="3" xfId="0" applyAlignment="1" applyFont="1" applyNumberFormat="1">
      <alignment horizontal="center" vertical="bottom"/>
    </xf>
    <xf borderId="0" fillId="0" fontId="13" numFmtId="0" xfId="0" applyAlignment="1" applyFont="1">
      <alignment horizontal="center" vertical="bottom"/>
    </xf>
    <xf borderId="0" fillId="0" fontId="1" numFmtId="0" xfId="0" applyAlignment="1" applyFont="1">
      <alignment vertical="bottom"/>
    </xf>
    <xf borderId="0" fillId="5" fontId="12" numFmtId="3" xfId="0" applyAlignment="1" applyFill="1" applyFont="1" applyNumberFormat="1">
      <alignment horizontal="center" vertical="bottom"/>
    </xf>
    <xf borderId="0" fillId="6" fontId="12" numFmtId="3" xfId="0" applyAlignment="1" applyFill="1" applyFont="1" applyNumberFormat="1">
      <alignment horizontal="center" vertical="bottom"/>
    </xf>
    <xf borderId="0" fillId="7" fontId="12" numFmtId="3" xfId="0" applyAlignment="1" applyFill="1" applyFont="1" applyNumberFormat="1">
      <alignment horizontal="center" vertical="bottom"/>
    </xf>
    <xf borderId="0" fillId="0" fontId="13" numFmtId="0" xfId="0" applyAlignment="1" applyFont="1">
      <alignment vertical="bottom"/>
    </xf>
    <xf borderId="0" fillId="8" fontId="12" numFmtId="3" xfId="0" applyAlignment="1" applyFill="1" applyFont="1" applyNumberFormat="1">
      <alignment horizontal="center" vertical="bottom"/>
    </xf>
    <xf borderId="0" fillId="9" fontId="12" numFmtId="3" xfId="0" applyAlignment="1" applyFill="1" applyFont="1" applyNumberFormat="1">
      <alignment horizontal="center" vertical="bottom"/>
    </xf>
    <xf borderId="0" fillId="0" fontId="12" numFmtId="0" xfId="0" applyAlignment="1" applyFont="1">
      <alignment horizontal="center" shrinkToFit="0" vertical="bottom" wrapText="1"/>
    </xf>
    <xf borderId="0" fillId="0" fontId="12" numFmtId="0" xfId="0" applyAlignment="1" applyFont="1">
      <alignment horizontal="center" vertical="bottom"/>
    </xf>
    <xf borderId="0" fillId="0" fontId="14" numFmtId="0" xfId="0" applyAlignment="1" applyFont="1">
      <alignment vertical="bottom"/>
    </xf>
    <xf borderId="0" fillId="0" fontId="15" numFmtId="0" xfId="0" applyAlignment="1" applyFont="1">
      <alignment readingOrder="0" vertical="bottom"/>
    </xf>
    <xf borderId="21" fillId="0" fontId="3" numFmtId="0" xfId="0" applyBorder="1" applyFont="1"/>
    <xf borderId="0" fillId="0" fontId="12" numFmtId="0" xfId="0" applyAlignment="1" applyFont="1">
      <alignment shrinkToFit="0" wrapText="1"/>
    </xf>
    <xf borderId="0" fillId="0" fontId="16" numFmtId="0" xfId="0" applyAlignment="1" applyFont="1">
      <alignment vertical="bottom"/>
    </xf>
    <xf borderId="0" fillId="0" fontId="17" numFmtId="0" xfId="0" applyAlignment="1" applyFont="1">
      <alignment horizontal="center" vertical="bottom"/>
    </xf>
    <xf borderId="0" fillId="2" fontId="18" numFmtId="165" xfId="0" applyAlignment="1" applyFont="1" applyNumberFormat="1">
      <alignment horizontal="center" vertical="center"/>
    </xf>
    <xf borderId="0" fillId="2" fontId="18" numFmtId="0" xfId="0" applyAlignment="1" applyFont="1">
      <alignment horizontal="center" vertical="center"/>
    </xf>
    <xf borderId="0" fillId="2" fontId="18" numFmtId="0" xfId="0" applyAlignment="1" applyFont="1">
      <alignment horizontal="center" shrinkToFit="0" vertical="center" wrapText="1"/>
    </xf>
    <xf borderId="0" fillId="2" fontId="1" numFmtId="0" xfId="0" applyAlignment="1" applyFont="1">
      <alignment vertical="bottom"/>
    </xf>
    <xf borderId="0" fillId="2" fontId="18" numFmtId="0" xfId="0" applyAlignment="1" applyFont="1">
      <alignment horizontal="center" shrinkToFit="0" wrapText="1"/>
    </xf>
    <xf borderId="0" fillId="2" fontId="18" numFmtId="0" xfId="0" applyAlignment="1" applyFont="1">
      <alignment horizontal="left" shrinkToFit="0" vertical="bottom" wrapText="1"/>
    </xf>
    <xf borderId="0" fillId="2" fontId="18" numFmtId="0" xfId="0" applyAlignment="1" applyFont="1">
      <alignment horizontal="center"/>
    </xf>
    <xf borderId="0" fillId="10" fontId="19" numFmtId="165" xfId="0" applyAlignment="1" applyFill="1" applyFont="1" applyNumberFormat="1">
      <alignment horizontal="center" vertical="center"/>
    </xf>
    <xf borderId="0" fillId="0" fontId="20" numFmtId="0" xfId="0" applyAlignment="1" applyFont="1">
      <alignment horizontal="center" vertical="center"/>
    </xf>
    <xf borderId="0" fillId="0" fontId="13" numFmtId="0" xfId="0" applyAlignment="1" applyFont="1">
      <alignment horizontal="center" shrinkToFit="0" vertical="center" wrapText="1"/>
    </xf>
    <xf borderId="0" fillId="0" fontId="13" numFmtId="0" xfId="0" applyAlignment="1" applyFont="1">
      <alignment shrinkToFit="0" vertical="center" wrapText="1"/>
    </xf>
    <xf borderId="0" fillId="0" fontId="1" numFmtId="0" xfId="0" applyAlignment="1" applyFont="1">
      <alignment vertical="center"/>
    </xf>
    <xf borderId="0" fillId="3" fontId="21" numFmtId="0" xfId="0" applyAlignment="1" applyFont="1">
      <alignment vertical="center"/>
    </xf>
    <xf borderId="0" fillId="0" fontId="13" numFmtId="0" xfId="0" applyAlignment="1" applyFont="1">
      <alignment horizontal="center" vertical="center"/>
    </xf>
    <xf borderId="0" fillId="0" fontId="13" numFmtId="0" xfId="0" applyAlignment="1" applyFont="1">
      <alignment horizontal="center" readingOrder="0" shrinkToFit="0" vertical="center" wrapText="1"/>
    </xf>
    <xf borderId="0" fillId="0" fontId="13" numFmtId="0" xfId="0" applyAlignment="1" applyFont="1">
      <alignment horizontal="center" readingOrder="0" vertical="center"/>
    </xf>
    <xf borderId="0" fillId="2" fontId="22" numFmtId="0" xfId="0" applyAlignment="1" applyFont="1">
      <alignment horizontal="left" shrinkToFit="0" wrapText="1"/>
    </xf>
    <xf borderId="0" fillId="0" fontId="20" numFmtId="0" xfId="0" applyAlignment="1" applyFont="1">
      <alignment horizontal="center" readingOrder="0" vertical="center"/>
    </xf>
    <xf borderId="0" fillId="3" fontId="1" numFmtId="0" xfId="0" applyAlignment="1" applyFont="1">
      <alignment vertical="center"/>
    </xf>
    <xf borderId="0" fillId="0" fontId="22" numFmtId="0" xfId="0" applyAlignment="1" applyFont="1">
      <alignment horizontal="left" readingOrder="0" shrinkToFit="0" wrapText="1"/>
    </xf>
    <xf borderId="0" fillId="0" fontId="22" numFmtId="0" xfId="0" applyAlignment="1" applyFont="1">
      <alignment horizontal="left" readingOrder="0" shrinkToFit="0" vertical="bottom" wrapText="1"/>
    </xf>
    <xf borderId="0" fillId="0" fontId="22" numFmtId="0" xfId="0" applyAlignment="1" applyFont="1">
      <alignment readingOrder="0" shrinkToFit="0" wrapText="1"/>
    </xf>
    <xf borderId="0" fillId="2" fontId="1" numFmtId="165" xfId="0" applyFont="1" applyNumberFormat="1"/>
    <xf borderId="0" fillId="11" fontId="18" numFmtId="0" xfId="0" applyAlignment="1" applyFill="1" applyFont="1">
      <alignment horizontal="center" readingOrder="0" shrinkToFit="0" wrapText="1"/>
    </xf>
    <xf borderId="0" fillId="11" fontId="18" numFmtId="0" xfId="0" applyAlignment="1" applyFont="1">
      <alignment horizontal="center" readingOrder="0" shrinkToFit="0" vertical="center" wrapText="1"/>
    </xf>
    <xf borderId="0" fillId="11" fontId="22" numFmtId="0" xfId="0" applyFont="1"/>
    <xf borderId="0" fillId="11" fontId="18" numFmtId="0" xfId="0" applyAlignment="1" applyFont="1">
      <alignment horizontal="center" readingOrder="0"/>
    </xf>
    <xf borderId="0" fillId="12" fontId="23" numFmtId="0" xfId="0" applyAlignment="1" applyFill="1" applyFont="1">
      <alignment horizontal="center" readingOrder="0" shrinkToFit="0" vertical="center" wrapText="1"/>
    </xf>
    <xf borderId="0" fillId="13" fontId="24" numFmtId="0" xfId="0" applyAlignment="1" applyFill="1" applyFont="1">
      <alignment horizontal="center" readingOrder="0" shrinkToFit="0" wrapText="1"/>
    </xf>
    <xf borderId="0" fillId="12" fontId="22" numFmtId="0" xfId="0" applyAlignment="1" applyFont="1">
      <alignment horizontal="center" readingOrder="0"/>
    </xf>
    <xf borderId="0" fillId="13" fontId="22" numFmtId="0" xfId="0" applyAlignment="1" applyFont="1">
      <alignment readingOrder="0" shrinkToFit="0" wrapText="1"/>
    </xf>
    <xf borderId="0" fillId="0" fontId="22" numFmtId="0" xfId="0" applyAlignment="1" applyFont="1">
      <alignment horizontal="center" readingOrder="0"/>
    </xf>
    <xf borderId="0" fillId="14" fontId="23" numFmtId="0" xfId="0" applyAlignment="1" applyFill="1" applyFont="1">
      <alignment horizontal="center" readingOrder="0" shrinkToFit="0" vertical="center" wrapText="1"/>
    </xf>
    <xf borderId="0" fillId="15" fontId="24" numFmtId="0" xfId="0" applyAlignment="1" applyFill="1" applyFont="1">
      <alignment horizontal="center" readingOrder="0" shrinkToFit="0" wrapText="1"/>
    </xf>
    <xf borderId="0" fillId="14" fontId="22" numFmtId="0" xfId="0" applyAlignment="1" applyFont="1">
      <alignment horizontal="center" readingOrder="0"/>
    </xf>
    <xf borderId="0" fillId="15" fontId="22" numFmtId="0" xfId="0" applyAlignment="1" applyFont="1">
      <alignment readingOrder="0" shrinkToFit="0" wrapText="1"/>
    </xf>
    <xf borderId="0" fillId="15" fontId="22" numFmtId="0" xfId="0" applyAlignment="1" applyFont="1">
      <alignment horizontal="center" readingOrder="0"/>
    </xf>
    <xf borderId="0" fillId="15" fontId="24" numFmtId="0" xfId="0" applyAlignment="1" applyFont="1">
      <alignment horizontal="center" shrinkToFit="0" wrapText="1"/>
    </xf>
    <xf borderId="0" fillId="16" fontId="23" numFmtId="0" xfId="0" applyAlignment="1" applyFill="1" applyFont="1">
      <alignment horizontal="center" readingOrder="0" shrinkToFit="0" vertical="center" wrapText="1"/>
    </xf>
    <xf borderId="0" fillId="17" fontId="24" numFmtId="0" xfId="0" applyAlignment="1" applyFill="1" applyFont="1">
      <alignment horizontal="center" readingOrder="0" shrinkToFit="0" wrapText="1"/>
    </xf>
    <xf borderId="0" fillId="16" fontId="22" numFmtId="0" xfId="0" applyAlignment="1" applyFont="1">
      <alignment horizontal="center" readingOrder="0"/>
    </xf>
    <xf borderId="0" fillId="17" fontId="22" numFmtId="0" xfId="0" applyAlignment="1" applyFont="1">
      <alignment readingOrder="0" shrinkToFit="0" wrapText="1"/>
    </xf>
    <xf borderId="0" fillId="17" fontId="22" numFmtId="0" xfId="0" applyAlignment="1" applyFont="1">
      <alignment horizontal="center" readingOrder="0"/>
    </xf>
    <xf borderId="0" fillId="17" fontId="22" numFmtId="0" xfId="0" applyAlignment="1" applyFont="1">
      <alignment horizontal="center"/>
    </xf>
    <xf borderId="0" fillId="18" fontId="23" numFmtId="0" xfId="0" applyAlignment="1" applyFill="1" applyFont="1">
      <alignment horizontal="center" readingOrder="0" shrinkToFit="0" vertical="center" wrapText="1"/>
    </xf>
    <xf borderId="0" fillId="19" fontId="24" numFmtId="0" xfId="0" applyAlignment="1" applyFill="1" applyFont="1">
      <alignment horizontal="center" readingOrder="0" shrinkToFit="0" wrapText="1"/>
    </xf>
    <xf borderId="0" fillId="18" fontId="22" numFmtId="0" xfId="0" applyAlignment="1" applyFont="1">
      <alignment horizontal="center" readingOrder="0"/>
    </xf>
    <xf borderId="0" fillId="19" fontId="22" numFmtId="0" xfId="0" applyAlignment="1" applyFont="1">
      <alignment readingOrder="0" shrinkToFit="0" wrapText="1"/>
    </xf>
    <xf borderId="0" fillId="19" fontId="22" numFmtId="0" xfId="0" applyAlignment="1" applyFont="1">
      <alignment horizontal="center"/>
    </xf>
    <xf borderId="0" fillId="20" fontId="23" numFmtId="0" xfId="0" applyAlignment="1" applyFill="1" applyFont="1">
      <alignment horizontal="center" readingOrder="0" shrinkToFit="0" vertical="center" wrapText="1"/>
    </xf>
    <xf borderId="0" fillId="21" fontId="24" numFmtId="0" xfId="0" applyAlignment="1" applyFill="1" applyFont="1">
      <alignment horizontal="center" readingOrder="0" shrinkToFit="0" wrapText="1"/>
    </xf>
    <xf borderId="0" fillId="20" fontId="22" numFmtId="0" xfId="0" applyAlignment="1" applyFont="1">
      <alignment horizontal="center" readingOrder="0"/>
    </xf>
    <xf borderId="0" fillId="22" fontId="22" numFmtId="0" xfId="0" applyAlignment="1" applyFill="1" applyFont="1">
      <alignment readingOrder="0" shrinkToFit="0" wrapText="1"/>
    </xf>
    <xf borderId="0" fillId="22" fontId="22" numFmtId="0" xfId="0" applyAlignment="1" applyFont="1">
      <alignment horizontal="center" readingOrder="0"/>
    </xf>
    <xf borderId="0" fillId="11" fontId="13" numFmtId="0" xfId="0" applyFont="1"/>
    <xf borderId="22" fillId="11" fontId="25" numFmtId="0" xfId="0" applyAlignment="1" applyBorder="1" applyFont="1">
      <alignment readingOrder="0" shrinkToFit="0" vertical="center" wrapText="1"/>
    </xf>
    <xf borderId="23" fillId="0" fontId="3" numFmtId="0" xfId="0" applyBorder="1" applyFont="1"/>
    <xf borderId="24" fillId="0" fontId="3" numFmtId="0" xfId="0" applyBorder="1" applyFont="1"/>
    <xf borderId="25" fillId="20" fontId="26" numFmtId="0" xfId="0" applyAlignment="1" applyBorder="1" applyFont="1">
      <alignment horizontal="center" readingOrder="0"/>
    </xf>
    <xf borderId="25" fillId="20" fontId="26" numFmtId="0" xfId="0" applyAlignment="1" applyBorder="1" applyFont="1">
      <alignment horizontal="center" readingOrder="0" shrinkToFit="0" wrapText="1"/>
    </xf>
    <xf borderId="25" fillId="23" fontId="27" numFmtId="0" xfId="0" applyAlignment="1" applyBorder="1" applyFill="1" applyFont="1">
      <alignment readingOrder="0" vertical="center"/>
    </xf>
    <xf borderId="25" fillId="23" fontId="13" numFmtId="0" xfId="0" applyAlignment="1" applyBorder="1" applyFont="1">
      <alignment readingOrder="0" shrinkToFit="0" vertical="center" wrapText="1"/>
    </xf>
    <xf borderId="25" fillId="23" fontId="13" numFmtId="166" xfId="0" applyAlignment="1" applyBorder="1" applyFont="1" applyNumberFormat="1">
      <alignment horizontal="center" readingOrder="0" vertical="center"/>
    </xf>
    <xf borderId="25" fillId="23" fontId="13" numFmtId="0" xfId="0" applyAlignment="1" applyBorder="1" applyFont="1">
      <alignment horizontal="center" vertical="center"/>
    </xf>
    <xf borderId="25" fillId="23" fontId="13" numFmtId="0" xfId="0" applyAlignment="1" applyBorder="1" applyFont="1">
      <alignment vertical="center"/>
    </xf>
    <xf borderId="25" fillId="23" fontId="13" numFmtId="0" xfId="0" applyAlignment="1" applyBorder="1" applyFont="1">
      <alignment readingOrder="0" shrinkToFit="0" wrapText="1"/>
    </xf>
    <xf borderId="25" fillId="23" fontId="13" numFmtId="0" xfId="0" applyBorder="1" applyFont="1"/>
    <xf borderId="0" fillId="11" fontId="13" numFmtId="0" xfId="0" applyAlignment="1" applyFont="1">
      <alignment horizontal="center"/>
    </xf>
    <xf borderId="0" fillId="11" fontId="13" numFmtId="0" xfId="0" applyAlignment="1" applyFont="1">
      <alignment shrinkToFit="0" wrapText="1"/>
    </xf>
    <xf borderId="26" fillId="24" fontId="28" numFmtId="0" xfId="0" applyAlignment="1" applyBorder="1" applyFill="1" applyFont="1">
      <alignment shrinkToFit="0" wrapText="1"/>
    </xf>
    <xf borderId="0" fillId="0" fontId="13" numFmtId="0" xfId="0" applyFont="1"/>
    <xf borderId="27" fillId="0" fontId="29" numFmtId="0" xfId="0" applyAlignment="1" applyBorder="1" applyFont="1">
      <alignment horizontal="left" shrinkToFit="0" vertical="top" wrapText="1"/>
    </xf>
    <xf borderId="0" fillId="0" fontId="29" numFmtId="0" xfId="0" applyAlignment="1" applyFont="1">
      <alignment horizontal="left" shrinkToFit="0" vertical="top" wrapText="1"/>
    </xf>
    <xf borderId="0" fillId="0" fontId="28" numFmtId="0" xfId="0" applyFont="1"/>
    <xf borderId="28" fillId="25" fontId="30" numFmtId="0" xfId="0" applyAlignment="1" applyBorder="1" applyFill="1" applyFont="1">
      <alignment horizontal="left" shrinkToFit="0" vertical="center" wrapText="1"/>
    </xf>
    <xf borderId="29" fillId="0" fontId="3" numFmtId="0" xfId="0" applyBorder="1" applyFont="1"/>
    <xf borderId="30" fillId="0" fontId="3" numFmtId="0" xfId="0" applyBorder="1" applyFont="1"/>
    <xf borderId="31" fillId="26" fontId="30" numFmtId="0" xfId="0" applyAlignment="1" applyBorder="1" applyFill="1" applyFont="1">
      <alignment horizontal="center" shrinkToFit="0" vertical="center" wrapText="1"/>
    </xf>
    <xf borderId="0" fillId="0" fontId="31" numFmtId="0" xfId="0" applyAlignment="1" applyFont="1">
      <alignment shrinkToFit="0" wrapText="1"/>
    </xf>
    <xf borderId="32" fillId="27" fontId="32" numFmtId="0" xfId="0" applyAlignment="1" applyBorder="1" applyFill="1" applyFont="1">
      <alignment horizontal="left" readingOrder="0" vertical="center"/>
    </xf>
    <xf borderId="33" fillId="0" fontId="3" numFmtId="0" xfId="0" applyBorder="1" applyFont="1"/>
    <xf borderId="34" fillId="0" fontId="3" numFmtId="0" xfId="0" applyBorder="1" applyFont="1"/>
    <xf borderId="31" fillId="28" fontId="33" numFmtId="0" xfId="0" applyAlignment="1" applyBorder="1" applyFill="1" applyFont="1">
      <alignment horizontal="center" vertical="center"/>
    </xf>
    <xf borderId="35" fillId="25" fontId="30" numFmtId="0" xfId="0" applyAlignment="1" applyBorder="1" applyFont="1">
      <alignment horizontal="left" shrinkToFit="0" vertical="center" wrapText="1"/>
    </xf>
    <xf borderId="36" fillId="0" fontId="3" numFmtId="0" xfId="0" applyBorder="1" applyFont="1"/>
    <xf borderId="37" fillId="0" fontId="3" numFmtId="0" xfId="0" applyBorder="1" applyFont="1"/>
    <xf borderId="31" fillId="26" fontId="30" numFmtId="0" xfId="0" applyAlignment="1" applyBorder="1" applyFont="1">
      <alignment horizontal="center" vertical="center"/>
    </xf>
    <xf borderId="32" fillId="27" fontId="34" numFmtId="0" xfId="0" applyAlignment="1" applyBorder="1" applyFont="1">
      <alignment horizontal="left" readingOrder="0" vertical="center"/>
    </xf>
    <xf borderId="27" fillId="0" fontId="22" numFmtId="0" xfId="0" applyAlignment="1" applyBorder="1" applyFont="1">
      <alignment horizontal="center"/>
    </xf>
    <xf borderId="27" fillId="0" fontId="3" numFmtId="0" xfId="0" applyBorder="1" applyFont="1"/>
    <xf borderId="0" fillId="0" fontId="22" numFmtId="0" xfId="0" applyAlignment="1" applyFont="1">
      <alignment horizontal="center"/>
    </xf>
    <xf borderId="28" fillId="29" fontId="28" numFmtId="0" xfId="0" applyAlignment="1" applyBorder="1" applyFill="1" applyFont="1">
      <alignment horizontal="center" shrinkToFit="0" vertical="center" wrapText="1"/>
    </xf>
    <xf borderId="38" fillId="29" fontId="28" numFmtId="0" xfId="0" applyAlignment="1" applyBorder="1" applyFont="1">
      <alignment horizontal="center" shrinkToFit="0" vertical="center" wrapText="1"/>
    </xf>
    <xf borderId="39" fillId="25" fontId="30" numFmtId="0" xfId="0" applyAlignment="1" applyBorder="1" applyFont="1">
      <alignment horizontal="center" vertical="center"/>
    </xf>
    <xf borderId="38" fillId="25" fontId="30" numFmtId="0" xfId="0" applyAlignment="1" applyBorder="1" applyFont="1">
      <alignment horizontal="center" shrinkToFit="0" vertical="center" wrapText="1"/>
    </xf>
    <xf borderId="32" fillId="30" fontId="35" numFmtId="0" xfId="0" applyAlignment="1" applyBorder="1" applyFill="1" applyFont="1">
      <alignment horizontal="center" readingOrder="0" vertical="center"/>
    </xf>
    <xf borderId="40" fillId="30" fontId="35" numFmtId="166" xfId="0" applyAlignment="1" applyBorder="1" applyFont="1" applyNumberFormat="1">
      <alignment horizontal="center" vertical="center"/>
    </xf>
    <xf borderId="41" fillId="31" fontId="35" numFmtId="167" xfId="0" applyAlignment="1" applyBorder="1" applyFill="1" applyFont="1" applyNumberFormat="1">
      <alignment horizontal="center" readingOrder="0" vertical="center"/>
    </xf>
    <xf borderId="40" fillId="31" fontId="35" numFmtId="167" xfId="0" applyAlignment="1" applyBorder="1" applyFont="1" applyNumberFormat="1">
      <alignment horizontal="center" readingOrder="0" vertical="center"/>
    </xf>
    <xf borderId="28" fillId="25" fontId="36" numFmtId="0" xfId="0" applyAlignment="1" applyBorder="1" applyFont="1">
      <alignment horizontal="left" readingOrder="0" shrinkToFit="0" vertical="center" wrapText="1"/>
    </xf>
    <xf borderId="32" fillId="0" fontId="22" numFmtId="0" xfId="0" applyAlignment="1" applyBorder="1" applyFont="1">
      <alignment horizontal="left" readingOrder="0" shrinkToFit="0" vertical="center" wrapText="1"/>
    </xf>
    <xf borderId="28" fillId="26" fontId="36" numFmtId="0" xfId="0" applyAlignment="1" applyBorder="1" applyFont="1">
      <alignment horizontal="left" readingOrder="0" shrinkToFit="0" vertical="center" wrapText="1"/>
    </xf>
    <xf borderId="32" fillId="0" fontId="37" numFmtId="0" xfId="0" applyAlignment="1" applyBorder="1" applyFont="1">
      <alignment horizontal="left" shrinkToFit="0" vertical="center" wrapText="1"/>
    </xf>
    <xf borderId="35" fillId="26" fontId="36" numFmtId="0" xfId="0" applyAlignment="1" applyBorder="1" applyFont="1">
      <alignment horizontal="left" readingOrder="0" shrinkToFit="0" vertical="center" wrapText="1"/>
    </xf>
    <xf borderId="32" fillId="32" fontId="37" numFmtId="0" xfId="0" applyAlignment="1" applyBorder="1" applyFill="1" applyFont="1">
      <alignment horizontal="left" shrinkToFit="0" vertical="center" wrapText="1"/>
    </xf>
    <xf borderId="42" fillId="0" fontId="35" numFmtId="0" xfId="0" applyBorder="1" applyFont="1"/>
    <xf borderId="0" fillId="0" fontId="38" numFmtId="0" xfId="0" applyAlignment="1" applyFont="1">
      <alignment vertical="top"/>
    </xf>
    <xf borderId="26" fillId="24" fontId="28" numFmtId="0" xfId="0" applyBorder="1" applyFont="1"/>
    <xf borderId="0" fillId="0" fontId="39" numFmtId="0" xfId="0" applyAlignment="1" applyFont="1">
      <alignment horizontal="left" vertical="center"/>
    </xf>
    <xf borderId="0" fillId="0" fontId="39" numFmtId="0" xfId="0" applyAlignment="1" applyFont="1">
      <alignment horizontal="left" readingOrder="0" vertical="center"/>
    </xf>
    <xf borderId="43" fillId="33" fontId="40" numFmtId="0" xfId="0" applyAlignment="1" applyBorder="1" applyFill="1" applyFont="1">
      <alignment horizontal="left" readingOrder="0" shrinkToFit="0" vertical="center" wrapText="1"/>
    </xf>
    <xf borderId="43" fillId="34" fontId="34" numFmtId="0" xfId="0" applyAlignment="1" applyBorder="1" applyFill="1" applyFont="1">
      <alignment horizontal="center" vertical="center"/>
    </xf>
    <xf borderId="43" fillId="35" fontId="40" numFmtId="0" xfId="0" applyAlignment="1" applyBorder="1" applyFill="1" applyFont="1">
      <alignment horizontal="left" shrinkToFit="0" vertical="center" wrapText="1"/>
    </xf>
    <xf borderId="43" fillId="36" fontId="34" numFmtId="0" xfId="0" applyAlignment="1" applyBorder="1" applyFill="1" applyFont="1">
      <alignment horizontal="center" vertical="center"/>
    </xf>
    <xf borderId="38" fillId="0" fontId="41" numFmtId="0" xfId="0" applyAlignment="1" applyBorder="1" applyFont="1">
      <alignment horizontal="left" readingOrder="0" vertical="center"/>
    </xf>
    <xf borderId="44" fillId="30" fontId="34" numFmtId="0" xfId="0" applyAlignment="1" applyBorder="1" applyFont="1">
      <alignment horizontal="center" vertical="center"/>
    </xf>
    <xf borderId="45" fillId="0" fontId="35" numFmtId="0" xfId="0" applyAlignment="1" applyBorder="1" applyFont="1">
      <alignment horizontal="left" shrinkToFit="0" vertical="center" wrapText="1"/>
    </xf>
    <xf borderId="38" fillId="0" fontId="42" numFmtId="0" xfId="0" applyAlignment="1" applyBorder="1" applyFont="1">
      <alignment horizontal="left" vertical="center"/>
    </xf>
    <xf borderId="38" fillId="0" fontId="41" numFmtId="0" xfId="0" applyAlignment="1" applyBorder="1" applyFont="1">
      <alignment horizontal="left" readingOrder="1" shrinkToFit="0" vertical="center" wrapText="1"/>
    </xf>
    <xf borderId="38" fillId="30" fontId="34" numFmtId="0" xfId="0" applyAlignment="1" applyBorder="1" applyFont="1">
      <alignment horizontal="center" vertical="center"/>
    </xf>
    <xf borderId="38" fillId="0" fontId="43" numFmtId="0" xfId="0" applyAlignment="1" applyBorder="1" applyFont="1">
      <alignment horizontal="left" vertical="center"/>
    </xf>
    <xf borderId="38" fillId="0" fontId="41" numFmtId="0" xfId="0" applyAlignment="1" applyBorder="1" applyFont="1">
      <alignment horizontal="left" vertical="center"/>
    </xf>
    <xf borderId="0" fillId="0" fontId="44" numFmtId="0" xfId="0" applyAlignment="1" applyFont="1">
      <alignment vertical="top"/>
    </xf>
    <xf borderId="26" fillId="24" fontId="28" numFmtId="0" xfId="0" applyAlignment="1" applyBorder="1" applyFont="1">
      <alignment horizontal="left" shrinkToFit="0" vertical="center" wrapText="1"/>
    </xf>
    <xf borderId="46" fillId="33" fontId="45" numFmtId="0" xfId="0" applyAlignment="1" applyBorder="1" applyFont="1">
      <alignment horizontal="left" shrinkToFit="0" vertical="center" wrapText="1"/>
    </xf>
    <xf borderId="46" fillId="34" fontId="45" numFmtId="0" xfId="0" applyAlignment="1" applyBorder="1" applyFont="1">
      <alignment horizontal="left" shrinkToFit="0" vertical="center" wrapText="1"/>
    </xf>
    <xf borderId="46" fillId="34" fontId="45" numFmtId="0" xfId="0" applyAlignment="1" applyBorder="1" applyFont="1">
      <alignment horizontal="left" readingOrder="0" shrinkToFit="0" vertical="center" wrapText="1"/>
    </xf>
    <xf borderId="46" fillId="37" fontId="45" numFmtId="0" xfId="0" applyAlignment="1" applyBorder="1" applyFill="1" applyFont="1">
      <alignment horizontal="left" shrinkToFit="0" vertical="center" wrapText="1"/>
    </xf>
    <xf borderId="38" fillId="38" fontId="28" numFmtId="0" xfId="0" applyAlignment="1" applyBorder="1" applyFill="1" applyFont="1">
      <alignment horizontal="left" readingOrder="0" shrinkToFit="0" vertical="center" wrapText="1"/>
    </xf>
    <xf borderId="38" fillId="39" fontId="28" numFmtId="166" xfId="0" applyAlignment="1" applyBorder="1" applyFill="1" applyFont="1" applyNumberFormat="1">
      <alignment horizontal="center" vertical="center"/>
    </xf>
    <xf borderId="38" fillId="0" fontId="28" numFmtId="0" xfId="0" applyAlignment="1" applyBorder="1" applyFont="1">
      <alignment horizontal="left" shrinkToFit="0" vertical="center" wrapText="1"/>
    </xf>
    <xf borderId="38" fillId="0" fontId="35" numFmtId="0" xfId="0" applyAlignment="1" applyBorder="1" applyFont="1">
      <alignment horizontal="left" readingOrder="0" shrinkToFit="0" vertical="center" wrapText="1"/>
    </xf>
    <xf borderId="38" fillId="38" fontId="41" numFmtId="0" xfId="0" applyAlignment="1" applyBorder="1" applyFont="1">
      <alignment horizontal="left" readingOrder="0" vertical="center"/>
    </xf>
    <xf borderId="38" fillId="23" fontId="24" numFmtId="0" xfId="0" applyAlignment="1" applyBorder="1" applyFont="1">
      <alignment horizontal="left" vertical="center"/>
    </xf>
    <xf borderId="38" fillId="23" fontId="24" numFmtId="0" xfId="0" applyAlignment="1" applyBorder="1" applyFont="1">
      <alignment horizontal="left" shrinkToFit="0" vertical="center" wrapText="1"/>
    </xf>
    <xf borderId="38" fillId="38" fontId="28" numFmtId="0" xfId="0" applyAlignment="1" applyBorder="1" applyFont="1">
      <alignment horizontal="left" shrinkToFit="0" vertical="center" wrapText="1"/>
    </xf>
    <xf borderId="38" fillId="0" fontId="41" numFmtId="0" xfId="0" applyAlignment="1" applyBorder="1" applyFont="1">
      <alignment horizontal="left" readingOrder="1" shrinkToFit="0" vertical="center" wrapText="1"/>
    </xf>
    <xf borderId="38" fillId="38" fontId="41" numFmtId="0" xfId="0" applyAlignment="1" applyBorder="1" applyFont="1">
      <alignment horizontal="left" vertical="center"/>
    </xf>
    <xf borderId="38" fillId="0" fontId="35" numFmtId="0" xfId="0" applyAlignment="1" applyBorder="1" applyFont="1">
      <alignment horizontal="left" shrinkToFit="0" vertical="center" wrapText="1"/>
    </xf>
    <xf borderId="0" fillId="0" fontId="46" numFmtId="0" xfId="0" applyAlignment="1" applyFont="1">
      <alignment vertical="top"/>
    </xf>
    <xf borderId="46" fillId="40" fontId="45" numFmtId="0" xfId="0" applyAlignment="1" applyBorder="1" applyFill="1" applyFont="1">
      <alignment horizontal="left" shrinkToFit="0" vertical="center" wrapText="1"/>
    </xf>
    <xf borderId="46" fillId="40" fontId="45" numFmtId="0" xfId="0" applyAlignment="1" applyBorder="1" applyFont="1">
      <alignment horizontal="left" readingOrder="0" shrinkToFit="0" vertical="center" wrapText="1"/>
    </xf>
    <xf borderId="46" fillId="41" fontId="45" numFmtId="0" xfId="0" applyAlignment="1" applyBorder="1" applyFill="1" applyFont="1">
      <alignment horizontal="left" shrinkToFit="0" vertical="center" wrapText="1"/>
    </xf>
    <xf borderId="46" fillId="41" fontId="45" numFmtId="0" xfId="0" applyAlignment="1" applyBorder="1" applyFont="1">
      <alignment horizontal="left" readingOrder="0" shrinkToFit="0" vertical="center" wrapText="1"/>
    </xf>
    <xf borderId="46" fillId="35" fontId="45" numFmtId="0" xfId="0" applyAlignment="1" applyBorder="1" applyFont="1">
      <alignment horizontal="left" shrinkToFit="0" vertical="center" wrapText="1"/>
    </xf>
    <xf borderId="46" fillId="35" fontId="45" numFmtId="0" xfId="0" applyAlignment="1" applyBorder="1" applyFont="1">
      <alignment horizontal="left" readingOrder="0" shrinkToFit="0" vertical="center" wrapText="1"/>
    </xf>
    <xf borderId="38" fillId="42" fontId="28" numFmtId="0" xfId="0" applyAlignment="1" applyBorder="1" applyFill="1" applyFont="1">
      <alignment horizontal="left" readingOrder="0" shrinkToFit="0" vertical="center" wrapText="1"/>
    </xf>
    <xf borderId="38" fillId="27" fontId="28" numFmtId="166" xfId="0" applyAlignment="1" applyBorder="1" applyFont="1" applyNumberFormat="1">
      <alignment horizontal="center" vertical="center"/>
    </xf>
    <xf borderId="38" fillId="0" fontId="28" numFmtId="0" xfId="0" applyAlignment="1" applyBorder="1" applyFont="1">
      <alignment horizontal="left" readingOrder="0" shrinkToFit="0" vertical="center" wrapText="1"/>
    </xf>
    <xf borderId="38" fillId="43" fontId="42" numFmtId="0" xfId="0" applyAlignment="1" applyBorder="1" applyFill="1" applyFont="1">
      <alignment horizontal="center" readingOrder="0" vertical="center"/>
    </xf>
    <xf borderId="38" fillId="43" fontId="41" numFmtId="0" xfId="0" applyAlignment="1" applyBorder="1" applyFont="1">
      <alignment horizontal="center" readingOrder="0" vertical="center"/>
    </xf>
    <xf borderId="38" fillId="0" fontId="47" numFmtId="0" xfId="0" applyAlignment="1" applyBorder="1" applyFont="1">
      <alignment horizontal="left" readingOrder="0" shrinkToFit="0" vertical="center" wrapText="1"/>
    </xf>
    <xf borderId="38" fillId="43" fontId="42" numFmtId="0" xfId="0" applyAlignment="1" applyBorder="1" applyFont="1">
      <alignment horizontal="center" vertical="center"/>
    </xf>
    <xf borderId="38" fillId="42" fontId="28" numFmtId="0" xfId="0" applyAlignment="1" applyBorder="1" applyFont="1">
      <alignment horizontal="left" shrinkToFit="0" vertical="center" wrapText="1"/>
    </xf>
    <xf borderId="47" fillId="26" fontId="30" numFmtId="0" xfId="0" applyAlignment="1" applyBorder="1" applyFont="1">
      <alignment horizontal="center" shrinkToFit="0" vertical="center" wrapText="1"/>
    </xf>
    <xf borderId="48" fillId="28" fontId="33" numFmtId="0" xfId="0" applyAlignment="1" applyBorder="1" applyFont="1">
      <alignment horizontal="center" vertical="center"/>
    </xf>
    <xf borderId="48" fillId="26" fontId="30" numFmtId="0" xfId="0" applyAlignment="1" applyBorder="1" applyFont="1">
      <alignment horizontal="center" vertical="center"/>
    </xf>
    <xf borderId="49" fillId="26" fontId="30" numFmtId="0" xfId="0" applyAlignment="1" applyBorder="1" applyFont="1">
      <alignment horizontal="center" shrinkToFit="0" vertical="center" wrapText="1"/>
    </xf>
    <xf borderId="49" fillId="28" fontId="33" numFmtId="0" xfId="0" applyAlignment="1" applyBorder="1" applyFont="1">
      <alignment horizontal="center" vertical="center"/>
    </xf>
    <xf borderId="49" fillId="26" fontId="30" numFmtId="0" xfId="0" applyAlignment="1" applyBorder="1" applyFont="1">
      <alignment horizontal="center" vertical="center"/>
    </xf>
    <xf borderId="50" fillId="26" fontId="30" numFmtId="0" xfId="0" applyAlignment="1" applyBorder="1" applyFont="1">
      <alignment horizontal="center" shrinkToFit="0" vertical="center" wrapText="1"/>
    </xf>
    <xf borderId="51" fillId="28" fontId="33" numFmtId="0" xfId="0" applyAlignment="1" applyBorder="1" applyFont="1">
      <alignment horizontal="center" vertical="center"/>
    </xf>
    <xf borderId="51" fillId="26" fontId="30" numFmtId="0" xfId="0" applyAlignment="1" applyBorder="1" applyFont="1">
      <alignment horizontal="center" vertical="center"/>
    </xf>
    <xf borderId="52" fillId="26" fontId="30" numFmtId="0" xfId="0" applyAlignment="1" applyBorder="1" applyFont="1">
      <alignment horizontal="center" shrinkToFit="0" vertical="center" wrapText="1"/>
    </xf>
    <xf borderId="28" fillId="28" fontId="33" numFmtId="0" xfId="0" applyAlignment="1" applyBorder="1" applyFont="1">
      <alignment horizontal="center" vertical="center"/>
    </xf>
    <xf borderId="53" fillId="26" fontId="30" numFmtId="0" xfId="0" applyAlignment="1" applyBorder="1" applyFont="1">
      <alignment horizontal="center" vertical="center"/>
    </xf>
    <xf borderId="54" fillId="28" fontId="33" numFmtId="0" xfId="0" applyAlignment="1" applyBorder="1" applyFont="1">
      <alignment horizontal="center" vertical="center"/>
    </xf>
    <xf borderId="28" fillId="25" fontId="30" numFmtId="0" xfId="0" applyAlignment="1" applyBorder="1" applyFont="1">
      <alignment horizontal="center" shrinkToFit="0" vertical="center" wrapText="1"/>
    </xf>
    <xf borderId="32" fillId="31" fontId="35" numFmtId="167" xfId="0" applyAlignment="1" applyBorder="1" applyFont="1" applyNumberFormat="1">
      <alignment horizontal="center" readingOrder="0" vertical="center"/>
    </xf>
    <xf borderId="26" fillId="24" fontId="48" numFmtId="0" xfId="0" applyAlignment="1" applyBorder="1" applyFont="1">
      <alignment shrinkToFit="0" wrapText="1"/>
    </xf>
    <xf borderId="22" fillId="24" fontId="49" numFmtId="0" xfId="0" applyAlignment="1" applyBorder="1" applyFont="1">
      <alignment shrinkToFit="0" vertical="center" wrapText="0"/>
    </xf>
    <xf borderId="23" fillId="24" fontId="49" numFmtId="0" xfId="0" applyAlignment="1" applyBorder="1" applyFont="1">
      <alignment shrinkToFit="0" vertical="center" wrapText="0"/>
    </xf>
    <xf borderId="24" fillId="24" fontId="49" numFmtId="0" xfId="0" applyAlignment="1" applyBorder="1" applyFont="1">
      <alignment shrinkToFit="0" vertical="center" wrapText="0"/>
    </xf>
    <xf borderId="27" fillId="0" fontId="50" numFmtId="0" xfId="0" applyAlignment="1" applyBorder="1" applyFont="1">
      <alignment horizontal="left" shrinkToFit="0" vertical="top" wrapText="1"/>
    </xf>
    <xf borderId="0" fillId="0" fontId="50" numFmtId="0" xfId="0" applyAlignment="1" applyFont="1">
      <alignment horizontal="left" shrinkToFit="0" vertical="top" wrapText="1"/>
    </xf>
    <xf borderId="0" fillId="0" fontId="48" numFmtId="0" xfId="0" applyFont="1"/>
    <xf borderId="28" fillId="44" fontId="48" numFmtId="0" xfId="0" applyAlignment="1" applyBorder="1" applyFill="1" applyFont="1">
      <alignment horizontal="left" shrinkToFit="0" vertical="center" wrapText="1"/>
    </xf>
    <xf borderId="39" fillId="26" fontId="48" numFmtId="0" xfId="0" applyAlignment="1" applyBorder="1" applyFont="1">
      <alignment horizontal="center" shrinkToFit="0" vertical="center" wrapText="1"/>
    </xf>
    <xf borderId="55" fillId="0" fontId="51" numFmtId="0" xfId="0" applyAlignment="1" applyBorder="1" applyFont="1">
      <alignment shrinkToFit="0" wrapText="1"/>
    </xf>
    <xf borderId="26" fillId="24" fontId="48" numFmtId="0" xfId="0" applyBorder="1" applyFont="1"/>
    <xf borderId="32" fillId="27" fontId="52" numFmtId="0" xfId="0" applyAlignment="1" applyBorder="1" applyFont="1">
      <alignment horizontal="left" vertical="center"/>
    </xf>
    <xf borderId="38" fillId="28" fontId="53" numFmtId="0" xfId="0" applyAlignment="1" applyBorder="1" applyFont="1">
      <alignment horizontal="center" vertical="center"/>
    </xf>
    <xf borderId="35" fillId="44" fontId="48" numFmtId="0" xfId="0" applyAlignment="1" applyBorder="1" applyFont="1">
      <alignment horizontal="left" shrinkToFit="0" vertical="center" wrapText="1"/>
    </xf>
    <xf borderId="56" fillId="26" fontId="48" numFmtId="0" xfId="0" applyAlignment="1" applyBorder="1" applyFont="1">
      <alignment horizontal="center" vertical="center"/>
    </xf>
    <xf borderId="57" fillId="28" fontId="53" numFmtId="0" xfId="0" applyAlignment="1" applyBorder="1" applyFont="1">
      <alignment horizontal="center" vertical="center"/>
    </xf>
    <xf borderId="27" fillId="0" fontId="54" numFmtId="0" xfId="0" applyAlignment="1" applyBorder="1" applyFont="1">
      <alignment horizontal="center"/>
    </xf>
    <xf borderId="28" fillId="29" fontId="48" numFmtId="0" xfId="0" applyAlignment="1" applyBorder="1" applyFont="1">
      <alignment horizontal="center" shrinkToFit="0" vertical="center" wrapText="1"/>
    </xf>
    <xf borderId="38" fillId="29" fontId="48" numFmtId="0" xfId="0" applyAlignment="1" applyBorder="1" applyFont="1">
      <alignment horizontal="center" shrinkToFit="0" vertical="center" wrapText="1"/>
    </xf>
    <xf borderId="39" fillId="45" fontId="48" numFmtId="0" xfId="0" applyAlignment="1" applyBorder="1" applyFill="1" applyFont="1">
      <alignment horizontal="center" vertical="center"/>
    </xf>
    <xf borderId="38" fillId="45" fontId="48" numFmtId="0" xfId="0" applyAlignment="1" applyBorder="1" applyFont="1">
      <alignment horizontal="center" shrinkToFit="0" vertical="center" wrapText="1"/>
    </xf>
    <xf borderId="32" fillId="30" fontId="55" numFmtId="0" xfId="0" applyAlignment="1" applyBorder="1" applyFont="1">
      <alignment horizontal="center" vertical="center"/>
    </xf>
    <xf borderId="40" fillId="30" fontId="55" numFmtId="166" xfId="0" applyAlignment="1" applyBorder="1" applyFont="1" applyNumberFormat="1">
      <alignment horizontal="center" vertical="center"/>
    </xf>
    <xf borderId="41" fillId="31" fontId="55" numFmtId="166" xfId="0" applyAlignment="1" applyBorder="1" applyFont="1" applyNumberFormat="1">
      <alignment horizontal="center" vertical="center"/>
    </xf>
    <xf borderId="40" fillId="31" fontId="55" numFmtId="168" xfId="0" applyAlignment="1" applyBorder="1" applyFont="1" applyNumberFormat="1">
      <alignment horizontal="center" vertical="center"/>
    </xf>
    <xf borderId="28" fillId="46" fontId="55" numFmtId="0" xfId="0" applyAlignment="1" applyBorder="1" applyFill="1" applyFont="1">
      <alignment horizontal="left" shrinkToFit="0" vertical="center" wrapText="1"/>
    </xf>
    <xf borderId="32" fillId="0" fontId="56" numFmtId="0" xfId="0" applyAlignment="1" applyBorder="1" applyFont="1">
      <alignment horizontal="left" shrinkToFit="0" vertical="center" wrapText="1"/>
    </xf>
    <xf borderId="28" fillId="26" fontId="55" numFmtId="0" xfId="0" applyAlignment="1" applyBorder="1" applyFont="1">
      <alignment horizontal="left" shrinkToFit="0" vertical="center" wrapText="1"/>
    </xf>
    <xf borderId="35" fillId="26" fontId="55" numFmtId="0" xfId="0" applyAlignment="1" applyBorder="1" applyFont="1">
      <alignment horizontal="left" shrinkToFit="0" vertical="center" wrapText="1"/>
    </xf>
    <xf borderId="32" fillId="32" fontId="56" numFmtId="0" xfId="0" applyAlignment="1" applyBorder="1" applyFont="1">
      <alignment horizontal="left" shrinkToFit="0" vertical="center" wrapText="1"/>
    </xf>
    <xf borderId="42" fillId="0" fontId="57" numFmtId="0" xfId="0" applyBorder="1" applyFont="1"/>
    <xf borderId="0" fillId="0" fontId="58" numFmtId="0" xfId="0" applyAlignment="1" applyFont="1">
      <alignment vertical="top"/>
    </xf>
    <xf borderId="0" fillId="0" fontId="59" numFmtId="0" xfId="0" applyAlignment="1" applyFont="1">
      <alignment horizontal="left" vertical="center"/>
    </xf>
    <xf borderId="43" fillId="33" fontId="55" numFmtId="0" xfId="0" applyAlignment="1" applyBorder="1" applyFont="1">
      <alignment horizontal="left" readingOrder="0" shrinkToFit="0" vertical="center" wrapText="1"/>
    </xf>
    <xf borderId="43" fillId="34" fontId="52" numFmtId="0" xfId="0" applyAlignment="1" applyBorder="1" applyFont="1">
      <alignment horizontal="center" vertical="center"/>
    </xf>
    <xf borderId="43" fillId="35" fontId="55" numFmtId="0" xfId="0" applyAlignment="1" applyBorder="1" applyFont="1">
      <alignment horizontal="left" shrinkToFit="0" vertical="center" wrapText="1"/>
    </xf>
    <xf borderId="43" fillId="36" fontId="52" numFmtId="0" xfId="0" applyAlignment="1" applyBorder="1" applyFont="1">
      <alignment horizontal="center" vertical="center"/>
    </xf>
    <xf borderId="45" fillId="0" fontId="55" numFmtId="0" xfId="0" applyAlignment="1" applyBorder="1" applyFont="1">
      <alignment horizontal="left" shrinkToFit="0" vertical="center" wrapText="1"/>
    </xf>
    <xf borderId="44" fillId="30" fontId="52" numFmtId="0" xfId="0" applyAlignment="1" applyBorder="1" applyFont="1">
      <alignment horizontal="center" vertical="center"/>
    </xf>
    <xf borderId="38" fillId="0" fontId="60" numFmtId="0" xfId="0" applyAlignment="1" applyBorder="1" applyFont="1">
      <alignment horizontal="left" vertical="center"/>
    </xf>
    <xf borderId="38" fillId="0" fontId="61" numFmtId="0" xfId="0" applyAlignment="1" applyBorder="1" applyFont="1">
      <alignment horizontal="left" readingOrder="1" shrinkToFit="0" vertical="center" wrapText="1"/>
    </xf>
    <xf borderId="38" fillId="30" fontId="52" numFmtId="0" xfId="0" applyAlignment="1" applyBorder="1" applyFont="1">
      <alignment horizontal="center" vertical="center"/>
    </xf>
    <xf borderId="38" fillId="0" fontId="62" numFmtId="0" xfId="0" applyAlignment="1" applyBorder="1" applyFont="1">
      <alignment horizontal="left" vertical="center"/>
    </xf>
    <xf borderId="38" fillId="0" fontId="61" numFmtId="0" xfId="0" applyAlignment="1" applyBorder="1" applyFont="1">
      <alignment horizontal="left" vertical="center"/>
    </xf>
    <xf borderId="0" fillId="0" fontId="63" numFmtId="0" xfId="0" applyAlignment="1" applyFont="1">
      <alignment vertical="top"/>
    </xf>
    <xf borderId="26" fillId="24" fontId="48" numFmtId="0" xfId="0" applyAlignment="1" applyBorder="1" applyFont="1">
      <alignment horizontal="left" shrinkToFit="0" vertical="center" wrapText="1"/>
    </xf>
    <xf borderId="46" fillId="33" fontId="54" numFmtId="0" xfId="0" applyAlignment="1" applyBorder="1" applyFont="1">
      <alignment horizontal="left" shrinkToFit="0" vertical="center" wrapText="1"/>
    </xf>
    <xf borderId="46" fillId="34" fontId="54" numFmtId="0" xfId="0" applyAlignment="1" applyBorder="1" applyFont="1">
      <alignment horizontal="left" shrinkToFit="0" vertical="center" wrapText="1"/>
    </xf>
    <xf borderId="46" fillId="37" fontId="54" numFmtId="0" xfId="0" applyAlignment="1" applyBorder="1" applyFont="1">
      <alignment horizontal="left" shrinkToFit="0" vertical="center" wrapText="1"/>
    </xf>
    <xf borderId="38" fillId="38" fontId="48" numFmtId="0" xfId="0" applyAlignment="1" applyBorder="1" applyFont="1">
      <alignment horizontal="left" shrinkToFit="0" vertical="center" wrapText="1"/>
    </xf>
    <xf borderId="38" fillId="39" fontId="48" numFmtId="166" xfId="0" applyAlignment="1" applyBorder="1" applyFont="1" applyNumberFormat="1">
      <alignment horizontal="center" vertical="center"/>
    </xf>
    <xf borderId="38" fillId="0" fontId="48" numFmtId="0" xfId="0" applyAlignment="1" applyBorder="1" applyFont="1">
      <alignment horizontal="left" shrinkToFit="0" vertical="center" wrapText="1"/>
    </xf>
    <xf borderId="38" fillId="0" fontId="55" numFmtId="0" xfId="0" applyAlignment="1" applyBorder="1" applyFont="1">
      <alignment horizontal="left" shrinkToFit="0" vertical="center" wrapText="1"/>
    </xf>
    <xf borderId="38" fillId="38" fontId="61" numFmtId="0" xfId="0" applyAlignment="1" applyBorder="1" applyFont="1">
      <alignment horizontal="left" vertical="center"/>
    </xf>
    <xf borderId="38" fillId="23" fontId="64" numFmtId="0" xfId="0" applyAlignment="1" applyBorder="1" applyFont="1">
      <alignment horizontal="left" vertical="center"/>
    </xf>
    <xf borderId="38" fillId="23" fontId="64" numFmtId="0" xfId="0" applyAlignment="1" applyBorder="1" applyFont="1">
      <alignment horizontal="left" shrinkToFit="0" vertical="center" wrapText="1"/>
    </xf>
    <xf borderId="38" fillId="38" fontId="61" numFmtId="0" xfId="0" applyAlignment="1" applyBorder="1" applyFont="1">
      <alignment horizontal="left" readingOrder="0" vertical="center"/>
    </xf>
    <xf borderId="38" fillId="0" fontId="55" numFmtId="0" xfId="0" applyAlignment="1" applyBorder="1" applyFont="1">
      <alignment horizontal="left" readingOrder="0" shrinkToFit="0" vertical="center" wrapText="1"/>
    </xf>
    <xf borderId="0" fillId="0" fontId="65" numFmtId="0" xfId="0" applyAlignment="1" applyFont="1">
      <alignment vertical="top"/>
    </xf>
    <xf borderId="46" fillId="40" fontId="54" numFmtId="0" xfId="0" applyAlignment="1" applyBorder="1" applyFont="1">
      <alignment horizontal="left" shrinkToFit="0" vertical="center" wrapText="1"/>
    </xf>
    <xf borderId="46" fillId="41" fontId="54" numFmtId="0" xfId="0" applyAlignment="1" applyBorder="1" applyFont="1">
      <alignment horizontal="left" shrinkToFit="0" vertical="center" wrapText="1"/>
    </xf>
    <xf borderId="46" fillId="35" fontId="54" numFmtId="0" xfId="0" applyAlignment="1" applyBorder="1" applyFont="1">
      <alignment horizontal="left" shrinkToFit="0" vertical="center" wrapText="1"/>
    </xf>
    <xf borderId="38" fillId="42" fontId="48" numFmtId="0" xfId="0" applyAlignment="1" applyBorder="1" applyFont="1">
      <alignment horizontal="left" shrinkToFit="0" vertical="center" wrapText="1"/>
    </xf>
    <xf borderId="38" fillId="27" fontId="48" numFmtId="166" xfId="0" applyAlignment="1" applyBorder="1" applyFont="1" applyNumberFormat="1">
      <alignment horizontal="center" vertical="center"/>
    </xf>
    <xf borderId="38" fillId="43" fontId="60" numFmtId="0" xfId="0" applyAlignment="1" applyBorder="1" applyFont="1">
      <alignment horizontal="center" vertical="center"/>
    </xf>
    <xf borderId="0" fillId="0" fontId="48" numFmtId="0" xfId="0" applyAlignment="1" applyFont="1">
      <alignment horizontal="left" shrinkToFit="0" vertical="center" wrapText="1"/>
    </xf>
    <xf borderId="26" fillId="24" fontId="66" numFmtId="0" xfId="0" applyAlignment="1" applyBorder="1" applyFont="1">
      <alignment vertical="center"/>
    </xf>
    <xf borderId="26" fillId="24" fontId="67" numFmtId="0" xfId="0" applyAlignment="1" applyBorder="1" applyFont="1">
      <alignment vertical="center"/>
    </xf>
    <xf borderId="46" fillId="47" fontId="68" numFmtId="0" xfId="0" applyAlignment="1" applyBorder="1" applyFill="1" applyFont="1">
      <alignment horizontal="left" shrinkToFit="0" vertical="center" wrapText="1"/>
    </xf>
    <xf borderId="46" fillId="47" fontId="68" numFmtId="0" xfId="0" applyAlignment="1" applyBorder="1" applyFont="1">
      <alignment horizontal="left" readingOrder="0" shrinkToFit="0" vertical="center" wrapText="1"/>
    </xf>
    <xf borderId="38" fillId="0" fontId="60" numFmtId="0" xfId="0" applyAlignment="1" applyBorder="1" applyFont="1">
      <alignment horizontal="center" vertical="center"/>
    </xf>
    <xf borderId="38" fillId="0" fontId="61" numFmtId="0" xfId="0" applyAlignment="1" applyBorder="1" applyFont="1">
      <alignment horizontal="left" readingOrder="0" vertical="center"/>
    </xf>
    <xf borderId="38" fillId="0" fontId="62" numFmtId="0" xfId="0" applyAlignment="1" applyBorder="1" applyFont="1">
      <alignment horizontal="center" vertical="center"/>
    </xf>
    <xf borderId="38" fillId="0" fontId="69" numFmtId="0" xfId="0" applyAlignment="1" applyBorder="1" applyFont="1">
      <alignment horizontal="left" readingOrder="1" shrinkToFit="0" vertical="center" wrapText="1"/>
    </xf>
    <xf borderId="0" fillId="0" fontId="64" numFmtId="0" xfId="0" applyFont="1"/>
  </cellXfs>
  <cellStyles count="1">
    <cellStyle xfId="0" name="Normal" builtinId="0"/>
  </cellStyles>
  <dxfs count="30">
    <dxf>
      <font>
        <color rgb="FFFFFFFF"/>
      </font>
      <fill>
        <patternFill patternType="solid">
          <fgColor rgb="FFFACB13"/>
          <bgColor rgb="FFFACB13"/>
        </patternFill>
      </fill>
      <border/>
    </dxf>
    <dxf>
      <font>
        <color rgb="FFFFFFFF"/>
      </font>
      <fill>
        <patternFill patternType="solid">
          <fgColor rgb="FFCC0000"/>
          <bgColor rgb="FFCC0000"/>
        </patternFill>
      </fill>
      <border/>
    </dxf>
    <dxf>
      <font/>
      <fill>
        <patternFill patternType="solid">
          <fgColor rgb="FF5EE9E7"/>
          <bgColor rgb="FF5EE9E7"/>
        </patternFill>
      </fill>
      <border/>
    </dxf>
    <dxf>
      <font/>
      <fill>
        <patternFill patternType="solid">
          <fgColor rgb="FFABEFEA"/>
          <bgColor rgb="FFABEFEA"/>
        </patternFill>
      </fill>
      <border/>
    </dxf>
    <dxf>
      <font/>
      <fill>
        <patternFill patternType="solid">
          <fgColor rgb="FFFBE5B1"/>
          <bgColor rgb="FFFBE5B1"/>
        </patternFill>
      </fill>
      <border/>
    </dxf>
    <dxf>
      <font/>
      <fill>
        <patternFill patternType="solid">
          <fgColor rgb="FFD8D8D8"/>
          <bgColor rgb="FFD8D8D8"/>
        </patternFill>
      </fill>
      <border/>
    </dxf>
    <dxf>
      <font/>
      <fill>
        <patternFill patternType="solid">
          <fgColor rgb="FFFFC000"/>
          <bgColor rgb="FFFFC000"/>
        </patternFill>
      </fill>
      <border/>
    </dxf>
    <dxf>
      <font>
        <color theme="1"/>
      </font>
      <fill>
        <patternFill patternType="solid">
          <fgColor rgb="FF77DBFB"/>
          <bgColor rgb="FF77DBFB"/>
        </patternFill>
      </fill>
      <border/>
    </dxf>
    <dxf>
      <font>
        <color theme="1"/>
      </font>
      <fill>
        <patternFill patternType="solid">
          <fgColor rgb="FFAFEB2D"/>
          <bgColor rgb="FFAFEB2D"/>
        </patternFill>
      </fill>
      <border/>
    </dxf>
    <dxf>
      <font>
        <color theme="1"/>
      </font>
      <fill>
        <patternFill patternType="solid">
          <fgColor rgb="FF00EAF0"/>
          <bgColor rgb="FF00EAF0"/>
        </patternFill>
      </fill>
      <border/>
    </dxf>
    <dxf>
      <font>
        <color rgb="FF000000"/>
      </font>
      <fill>
        <patternFill patternType="solid">
          <fgColor rgb="FFFFC000"/>
          <bgColor rgb="FFFFC000"/>
        </patternFill>
      </fill>
      <border/>
    </dxf>
    <dxf>
      <font>
        <color theme="0"/>
      </font>
      <fill>
        <patternFill patternType="solid">
          <fgColor rgb="FFEA0034"/>
          <bgColor rgb="FFEA0034"/>
        </patternFill>
      </fill>
      <border/>
    </dxf>
    <dxf>
      <font/>
      <fill>
        <patternFill patternType="solid">
          <fgColor rgb="FFFFC77F"/>
          <bgColor rgb="FFFFC77F"/>
        </patternFill>
      </fill>
      <border/>
    </dxf>
    <dxf>
      <font>
        <color theme="1"/>
      </font>
      <fill>
        <patternFill patternType="solid">
          <fgColor rgb="FFFACB13"/>
          <bgColor rgb="FFFACB13"/>
        </patternFill>
      </fill>
      <border/>
    </dxf>
    <dxf>
      <font>
        <color theme="0"/>
      </font>
      <fill>
        <patternFill patternType="solid">
          <fgColor rgb="FF747474"/>
          <bgColor rgb="FF747474"/>
        </patternFill>
      </fill>
      <border/>
    </dxf>
    <dxf>
      <font>
        <color theme="1"/>
      </font>
      <fill>
        <patternFill patternType="solid">
          <fgColor rgb="FFB6FBF5"/>
          <bgColor rgb="FFB6FBF5"/>
        </patternFill>
      </fill>
      <border/>
    </dxf>
    <dxf>
      <font>
        <color theme="0"/>
      </font>
      <fill>
        <patternFill patternType="solid">
          <fgColor rgb="FFFF3A1E"/>
          <bgColor rgb="FFFF3A1E"/>
        </patternFill>
      </fill>
      <border/>
    </dxf>
    <dxf>
      <font>
        <color rgb="FF000000"/>
      </font>
      <fill>
        <patternFill patternType="solid">
          <fgColor rgb="FF00EAF0"/>
          <bgColor rgb="FF00EAF0"/>
        </patternFill>
      </fill>
      <border/>
    </dxf>
    <dxf>
      <font>
        <color rgb="FFFFFFFF"/>
      </font>
      <fill>
        <patternFill patternType="solid">
          <fgColor rgb="FF93C47D"/>
          <bgColor rgb="FF93C47D"/>
        </patternFill>
      </fill>
      <border/>
    </dxf>
    <dxf>
      <font>
        <color rgb="FFFFFFFF"/>
      </font>
      <fill>
        <patternFill patternType="solid">
          <fgColor rgb="FFFFD966"/>
          <bgColor rgb="FFFFD966"/>
        </patternFill>
      </fill>
      <border/>
    </dxf>
    <dxf>
      <font>
        <color rgb="FFFFFFFF"/>
      </font>
      <fill>
        <patternFill patternType="solid">
          <fgColor rgb="FFFF0000"/>
          <bgColor rgb="FFFF0000"/>
        </patternFill>
      </fill>
      <border/>
    </dxf>
    <dxf>
      <font>
        <color theme="1"/>
      </font>
      <fill>
        <patternFill patternType="solid">
          <fgColor rgb="FFFFC000"/>
          <bgColor rgb="FFFFC000"/>
        </patternFill>
      </fill>
      <border/>
    </dxf>
    <dxf>
      <font>
        <color theme="1"/>
      </font>
      <fill>
        <patternFill patternType="solid">
          <fgColor rgb="FFDBE2E5"/>
          <bgColor rgb="FFDBE2E5"/>
        </patternFill>
      </fill>
      <border/>
    </dxf>
    <dxf>
      <font>
        <color theme="0"/>
      </font>
      <fill>
        <patternFill patternType="solid">
          <fgColor rgb="FFFF6B00"/>
          <bgColor rgb="FFFF6B00"/>
        </patternFill>
      </fill>
      <border/>
    </dxf>
    <dxf>
      <font>
        <color rgb="FFFFFFFF"/>
      </font>
      <fill>
        <patternFill patternType="solid">
          <fgColor rgb="FFEA0034"/>
          <bgColor rgb="FFEA0034"/>
        </patternFill>
      </fill>
      <border/>
    </dxf>
    <dxf>
      <font/>
      <fill>
        <patternFill patternType="solid">
          <fgColor rgb="FFE5DAFF"/>
          <bgColor rgb="FFE5DAFF"/>
        </patternFill>
      </fill>
      <border/>
    </dxf>
    <dxf>
      <font>
        <color theme="1"/>
      </font>
      <fill>
        <patternFill patternType="solid">
          <fgColor rgb="FFBEE231"/>
          <bgColor rgb="FFBEE231"/>
        </patternFill>
      </fill>
      <border/>
    </dxf>
    <dxf>
      <font/>
      <fill>
        <patternFill patternType="solid">
          <fgColor rgb="FF60CBF3"/>
          <bgColor rgb="FF60CBF3"/>
        </patternFill>
      </fill>
      <border/>
    </dxf>
    <dxf>
      <font>
        <color theme="1"/>
      </font>
      <fill>
        <patternFill patternType="solid">
          <fgColor rgb="FF03C25B"/>
          <bgColor rgb="FF03C25B"/>
        </patternFill>
      </fill>
      <border/>
    </dxf>
    <dxf>
      <font>
        <color theme="1"/>
      </font>
      <fill>
        <patternFill patternType="solid">
          <fgColor rgb="FF92D050"/>
          <bgColor rgb="FF92D050"/>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45953485946707"/>
          <c:y val="0.025462793971945563"/>
          <c:w val="0.5638888888888889"/>
          <c:h val="0.9398148148148148"/>
        </c:manualLayout>
      </c:layout>
      <c:pieChart>
        <c:varyColors val="1"/>
        <c:ser>
          <c:idx val="0"/>
          <c:order val="0"/>
          <c:dPt>
            <c:idx val="0"/>
            <c:spPr>
              <a:solidFill>
                <a:srgbClr val="F3B610"/>
              </a:solidFill>
            </c:spPr>
          </c:dPt>
          <c:dPt>
            <c:idx val="1"/>
            <c:spPr>
              <a:solidFill>
                <a:srgbClr val="ABDD3D"/>
              </a:solidFill>
            </c:spPr>
          </c:dPt>
          <c:dPt>
            <c:idx val="2"/>
            <c:spPr>
              <a:solidFill>
                <a:srgbClr val="77DBFB"/>
              </a:solidFill>
            </c:spPr>
          </c:dPt>
          <c:dLbls>
            <c:showLegendKey val="0"/>
            <c:showVal val="1"/>
            <c:showCatName val="0"/>
            <c:showSerName val="0"/>
            <c:showPercent val="0"/>
            <c:showBubbleSize val="0"/>
            <c:showLeaderLines val="1"/>
          </c:dLbls>
          <c:cat>
            <c:strRef>
              <c:f>'01-Core Architecture'!$B$26:$B$28</c:f>
            </c:strRef>
          </c:cat>
          <c:val>
            <c:numRef>
              <c:f>'01-Core Architecture'!$C$26:$C$28</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128409031652503"/>
          <c:y val="0.025462793971945563"/>
          <c:w val="0.5638888888888889"/>
          <c:h val="0.9398148148148148"/>
        </c:manualLayout>
      </c:layout>
      <c:pieChart>
        <c:varyColors val="1"/>
        <c:ser>
          <c:idx val="0"/>
          <c:order val="0"/>
          <c:dPt>
            <c:idx val="0"/>
            <c:spPr>
              <a:solidFill>
                <a:srgbClr val="00EBF1"/>
              </a:solidFill>
            </c:spPr>
          </c:dPt>
          <c:dPt>
            <c:idx val="1"/>
            <c:spPr>
              <a:solidFill>
                <a:srgbClr val="FFC000"/>
              </a:solidFill>
            </c:spPr>
          </c:dPt>
          <c:dPt>
            <c:idx val="2"/>
            <c:spPr>
              <a:solidFill>
                <a:srgbClr val="EB0034"/>
              </a:solidFill>
            </c:spPr>
          </c:dPt>
          <c:dLbls>
            <c:showLegendKey val="0"/>
            <c:showVal val="1"/>
            <c:showCatName val="0"/>
            <c:showSerName val="0"/>
            <c:showPercent val="0"/>
            <c:showBubbleSize val="0"/>
            <c:showLeaderLines val="1"/>
          </c:dLbls>
          <c:cat>
            <c:strRef>
              <c:f>'01-Core Architecture'!$B$29:$B$31</c:f>
            </c:strRef>
          </c:cat>
          <c:val>
            <c:numRef>
              <c:f>'01-Core Architecture'!$C$29:$C$31</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1660305275052461"/>
          <c:y val="0.025462793971945563"/>
          <c:w val="0.8685697630620773"/>
          <c:h val="0.9398148148148148"/>
        </c:manualLayout>
      </c:layout>
      <c:barChart>
        <c:barDir val="col"/>
        <c:ser>
          <c:idx val="0"/>
          <c:order val="0"/>
          <c:spPr>
            <a:solidFill>
              <a:schemeClr val="accent1"/>
            </a:solidFill>
            <a:ln cmpd="sng">
              <a:solidFill>
                <a:srgbClr val="000000"/>
              </a:solidFill>
            </a:ln>
          </c:spPr>
          <c:dPt>
            <c:idx val="0"/>
            <c:spPr>
              <a:solidFill>
                <a:srgbClr val="B1ECEF"/>
              </a:solidFill>
              <a:ln cmpd="sng">
                <a:solidFill>
                  <a:srgbClr val="000000"/>
                </a:solidFill>
              </a:ln>
            </c:spPr>
          </c:dPt>
          <c:dPt>
            <c:idx val="1"/>
            <c:spPr>
              <a:solidFill>
                <a:srgbClr val="F33D31"/>
              </a:solidFill>
              <a:ln cmpd="sng">
                <a:solidFill>
                  <a:srgbClr val="000000"/>
                </a:solidFill>
              </a:ln>
            </c:spPr>
          </c:dPt>
          <c:dPt>
            <c:idx val="2"/>
            <c:spPr>
              <a:solidFill>
                <a:srgbClr val="75717B"/>
              </a:solidFill>
              <a:ln cmpd="sng">
                <a:solidFill>
                  <a:srgbClr val="000000"/>
                </a:solidFill>
              </a:ln>
            </c:spPr>
          </c:dPt>
          <c:dPt>
            <c:idx val="3"/>
            <c:spPr>
              <a:solidFill>
                <a:srgbClr val="EFC028"/>
              </a:solidFill>
              <a:ln cmpd="sng">
                <a:solidFill>
                  <a:srgbClr val="000000"/>
                </a:solidFill>
              </a:ln>
            </c:spPr>
          </c:dPt>
          <c:dLbls>
            <c:numFmt formatCode="General" sourceLinked="1"/>
            <c:txPr>
              <a:bodyPr/>
              <a:lstStyle/>
              <a:p>
                <a:pPr lvl="0">
                  <a:defRPr b="0" i="0" sz="1400">
                    <a:latin typeface="Century Gothic"/>
                  </a:defRPr>
                </a:pPr>
              </a:p>
            </c:txPr>
            <c:showLegendKey val="0"/>
            <c:showVal val="1"/>
            <c:showCatName val="0"/>
            <c:showSerName val="0"/>
            <c:showPercent val="0"/>
            <c:showBubbleSize val="0"/>
          </c:dLbls>
          <c:cat>
            <c:strRef>
              <c:f>'01-Core Architecture'!$F$26:$F$29</c:f>
            </c:strRef>
          </c:cat>
          <c:val>
            <c:numRef>
              <c:f>'01-Core Architecture'!$G$26:$G$29</c:f>
              <c:numCache/>
            </c:numRef>
          </c:val>
        </c:ser>
        <c:axId val="1711651580"/>
        <c:axId val="1413866540"/>
      </c:barChart>
      <c:catAx>
        <c:axId val="17116515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1800000"/>
          <a:lstStyle/>
          <a:p>
            <a:pPr lvl="0">
              <a:defRPr b="0" i="0" sz="1400">
                <a:solidFill>
                  <a:srgbClr val="000000"/>
                </a:solidFill>
                <a:latin typeface="Century Gothic"/>
              </a:defRPr>
            </a:pPr>
          </a:p>
        </c:txPr>
        <c:crossAx val="1413866540"/>
      </c:catAx>
      <c:valAx>
        <c:axId val="1413866540"/>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400">
                <a:solidFill>
                  <a:srgbClr val="000000"/>
                </a:solidFill>
                <a:latin typeface="Century Gothic"/>
              </a:defRPr>
            </a:pPr>
          </a:p>
        </c:txPr>
        <c:crossAx val="1711651580"/>
        <c:majorUnit val="50.0"/>
      </c:valAx>
    </c:plotArea>
    <c:plotVisOnly val="1"/>
  </c:chart>
  <c:spPr>
    <a:solidFill>
      <a:srgbClr val="FFFFFF">
        <a:alpha val="0"/>
      </a:srgbClr>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45953485946707"/>
          <c:y val="0.025462793971945563"/>
          <c:w val="0.5638888888888889"/>
          <c:h val="0.9398148148148148"/>
        </c:manualLayout>
      </c:layout>
      <c:pieChart>
        <c:varyColors val="1"/>
        <c:ser>
          <c:idx val="0"/>
          <c:order val="0"/>
          <c:dPt>
            <c:idx val="0"/>
            <c:spPr>
              <a:solidFill>
                <a:srgbClr val="F3B610"/>
              </a:solidFill>
            </c:spPr>
          </c:dPt>
          <c:dPt>
            <c:idx val="1"/>
            <c:spPr>
              <a:solidFill>
                <a:srgbClr val="ABDD3D"/>
              </a:solidFill>
            </c:spPr>
          </c:dPt>
          <c:dPt>
            <c:idx val="2"/>
            <c:spPr>
              <a:solidFill>
                <a:srgbClr val="77DBFB"/>
              </a:solidFill>
            </c:spPr>
          </c:dPt>
          <c:dLbls>
            <c:showLegendKey val="0"/>
            <c:showVal val="1"/>
            <c:showCatName val="0"/>
            <c:showSerName val="0"/>
            <c:showPercent val="0"/>
            <c:showBubbleSize val="0"/>
            <c:showLeaderLines val="1"/>
          </c:dLbls>
          <c:cat>
            <c:strRef>
              <c:f>'02-Order Fulfillment'!$B$26:$B$28</c:f>
            </c:strRef>
          </c:cat>
          <c:val>
            <c:numRef>
              <c:f>'02-Order Fulfillment'!$C$26:$C$28</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128409031652503"/>
          <c:y val="0.025462793971945563"/>
          <c:w val="0.5638888888888889"/>
          <c:h val="0.9398148148148148"/>
        </c:manualLayout>
      </c:layout>
      <c:pieChart>
        <c:varyColors val="1"/>
        <c:ser>
          <c:idx val="0"/>
          <c:order val="0"/>
          <c:dPt>
            <c:idx val="0"/>
            <c:spPr>
              <a:solidFill>
                <a:srgbClr val="00EBF1"/>
              </a:solidFill>
            </c:spPr>
          </c:dPt>
          <c:dPt>
            <c:idx val="1"/>
            <c:spPr>
              <a:solidFill>
                <a:srgbClr val="FFC000"/>
              </a:solidFill>
            </c:spPr>
          </c:dPt>
          <c:dPt>
            <c:idx val="2"/>
            <c:spPr>
              <a:solidFill>
                <a:srgbClr val="EB0034"/>
              </a:solidFill>
            </c:spPr>
          </c:dPt>
          <c:dLbls>
            <c:showLegendKey val="0"/>
            <c:showVal val="1"/>
            <c:showCatName val="0"/>
            <c:showSerName val="0"/>
            <c:showPercent val="0"/>
            <c:showBubbleSize val="0"/>
            <c:showLeaderLines val="1"/>
          </c:dLbls>
          <c:cat>
            <c:strRef>
              <c:f>'02-Order Fulfillment'!$B$29:$B$31</c:f>
            </c:strRef>
          </c:cat>
          <c:val>
            <c:numRef>
              <c:f>'02-Order Fulfillment'!$C$29:$C$31</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1660305275052461"/>
          <c:y val="0.025462793971945563"/>
          <c:w val="0.8685697630620773"/>
          <c:h val="0.9398148148148148"/>
        </c:manualLayout>
      </c:layout>
      <c:barChart>
        <c:barDir val="col"/>
        <c:ser>
          <c:idx val="0"/>
          <c:order val="0"/>
          <c:spPr>
            <a:solidFill>
              <a:schemeClr val="accent1"/>
            </a:solidFill>
            <a:ln cmpd="sng">
              <a:solidFill>
                <a:srgbClr val="000000"/>
              </a:solidFill>
            </a:ln>
          </c:spPr>
          <c:dPt>
            <c:idx val="0"/>
            <c:spPr>
              <a:solidFill>
                <a:srgbClr val="B1ECEF"/>
              </a:solidFill>
              <a:ln cmpd="sng">
                <a:solidFill>
                  <a:srgbClr val="000000"/>
                </a:solidFill>
              </a:ln>
            </c:spPr>
          </c:dPt>
          <c:dPt>
            <c:idx val="1"/>
            <c:spPr>
              <a:solidFill>
                <a:srgbClr val="F33D31"/>
              </a:solidFill>
              <a:ln cmpd="sng">
                <a:solidFill>
                  <a:srgbClr val="000000"/>
                </a:solidFill>
              </a:ln>
            </c:spPr>
          </c:dPt>
          <c:dPt>
            <c:idx val="2"/>
            <c:spPr>
              <a:solidFill>
                <a:srgbClr val="75717B"/>
              </a:solidFill>
              <a:ln cmpd="sng">
                <a:solidFill>
                  <a:srgbClr val="000000"/>
                </a:solidFill>
              </a:ln>
            </c:spPr>
          </c:dPt>
          <c:dPt>
            <c:idx val="3"/>
            <c:spPr>
              <a:solidFill>
                <a:srgbClr val="EFC028"/>
              </a:solidFill>
              <a:ln cmpd="sng">
                <a:solidFill>
                  <a:srgbClr val="000000"/>
                </a:solidFill>
              </a:ln>
            </c:spPr>
          </c:dPt>
          <c:dLbls>
            <c:numFmt formatCode="General" sourceLinked="1"/>
            <c:txPr>
              <a:bodyPr/>
              <a:lstStyle/>
              <a:p>
                <a:pPr lvl="0">
                  <a:defRPr b="0" i="0" sz="1400">
                    <a:latin typeface="Century Gothic"/>
                  </a:defRPr>
                </a:pPr>
              </a:p>
            </c:txPr>
            <c:showLegendKey val="0"/>
            <c:showVal val="1"/>
            <c:showCatName val="0"/>
            <c:showSerName val="0"/>
            <c:showPercent val="0"/>
            <c:showBubbleSize val="0"/>
          </c:dLbls>
          <c:cat>
            <c:strRef>
              <c:f>'02-Order Fulfillment'!$F$26:$F$29</c:f>
            </c:strRef>
          </c:cat>
          <c:val>
            <c:numRef>
              <c:f>'02-Order Fulfillment'!$G$26:$G$29</c:f>
              <c:numCache/>
            </c:numRef>
          </c:val>
        </c:ser>
        <c:axId val="142860606"/>
        <c:axId val="1069404714"/>
      </c:barChart>
      <c:catAx>
        <c:axId val="1428606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1800000"/>
          <a:lstStyle/>
          <a:p>
            <a:pPr lvl="0">
              <a:defRPr b="0" i="0" sz="1400">
                <a:solidFill>
                  <a:srgbClr val="000000"/>
                </a:solidFill>
                <a:latin typeface="Century Gothic"/>
              </a:defRPr>
            </a:pPr>
          </a:p>
        </c:txPr>
        <c:crossAx val="1069404714"/>
      </c:catAx>
      <c:valAx>
        <c:axId val="1069404714"/>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400">
                <a:solidFill>
                  <a:srgbClr val="000000"/>
                </a:solidFill>
                <a:latin typeface="Century Gothic"/>
              </a:defRPr>
            </a:pPr>
          </a:p>
        </c:txPr>
        <c:crossAx val="142860606"/>
        <c:majorUnit val="50.0"/>
      </c:valAx>
    </c:plotArea>
    <c:plotVisOnly val="1"/>
  </c:chart>
  <c:spPr>
    <a:solidFill>
      <a:srgbClr val="FFFFFF">
        <a:alpha val="0"/>
      </a:srgbClr>
    </a:solidFill>
  </c:spPr>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45953485946707"/>
          <c:y val="0.025462793971945563"/>
          <c:w val="0.5638888888888889"/>
          <c:h val="0.9398148148148148"/>
        </c:manualLayout>
      </c:layout>
      <c:pieChart>
        <c:varyColors val="1"/>
        <c:ser>
          <c:idx val="0"/>
          <c:order val="0"/>
          <c:dPt>
            <c:idx val="0"/>
            <c:spPr>
              <a:solidFill>
                <a:srgbClr val="F3B610"/>
              </a:solidFill>
            </c:spPr>
          </c:dPt>
          <c:dPt>
            <c:idx val="1"/>
            <c:spPr>
              <a:solidFill>
                <a:srgbClr val="ABDD3D"/>
              </a:solidFill>
            </c:spPr>
          </c:dPt>
          <c:dPt>
            <c:idx val="2"/>
            <c:spPr>
              <a:solidFill>
                <a:srgbClr val="77DBFB"/>
              </a:solidFill>
            </c:spPr>
          </c:dPt>
          <c:dLbls>
            <c:showLegendKey val="0"/>
            <c:showVal val="1"/>
            <c:showCatName val="0"/>
            <c:showSerName val="0"/>
            <c:showPercent val="0"/>
            <c:showBubbleSize val="0"/>
            <c:showLeaderLines val="1"/>
          </c:dLbls>
          <c:cat>
            <c:strRef>
              <c:f>'03-Inventory'!$B$26:$B$28</c:f>
            </c:strRef>
          </c:cat>
          <c:val>
            <c:numRef>
              <c:f>'03-Inventory'!$C$26:$C$28</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128409031652503"/>
          <c:y val="0.025462793971945563"/>
          <c:w val="0.5638888888888889"/>
          <c:h val="0.9398148148148148"/>
        </c:manualLayout>
      </c:layout>
      <c:pieChart>
        <c:varyColors val="1"/>
        <c:ser>
          <c:idx val="0"/>
          <c:order val="0"/>
          <c:dPt>
            <c:idx val="0"/>
            <c:spPr>
              <a:solidFill>
                <a:srgbClr val="00EBF1"/>
              </a:solidFill>
            </c:spPr>
          </c:dPt>
          <c:dPt>
            <c:idx val="1"/>
            <c:spPr>
              <a:solidFill>
                <a:srgbClr val="FFC000"/>
              </a:solidFill>
            </c:spPr>
          </c:dPt>
          <c:dPt>
            <c:idx val="2"/>
            <c:spPr>
              <a:solidFill>
                <a:srgbClr val="EB0034"/>
              </a:solidFill>
            </c:spPr>
          </c:dPt>
          <c:dLbls>
            <c:showLegendKey val="0"/>
            <c:showVal val="1"/>
            <c:showCatName val="0"/>
            <c:showSerName val="0"/>
            <c:showPercent val="0"/>
            <c:showBubbleSize val="0"/>
            <c:showLeaderLines val="1"/>
          </c:dLbls>
          <c:cat>
            <c:strRef>
              <c:f>'03-Inventory'!$B$29:$B$31</c:f>
            </c:strRef>
          </c:cat>
          <c:val>
            <c:numRef>
              <c:f>'03-Inventory'!$C$29:$C$31</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1660305275052461"/>
          <c:y val="0.025462793971945563"/>
          <c:w val="0.8685697630620773"/>
          <c:h val="0.9398148148148148"/>
        </c:manualLayout>
      </c:layout>
      <c:barChart>
        <c:barDir val="col"/>
        <c:ser>
          <c:idx val="0"/>
          <c:order val="0"/>
          <c:spPr>
            <a:solidFill>
              <a:schemeClr val="accent1"/>
            </a:solidFill>
            <a:ln cmpd="sng">
              <a:solidFill>
                <a:srgbClr val="000000"/>
              </a:solidFill>
            </a:ln>
          </c:spPr>
          <c:dPt>
            <c:idx val="0"/>
            <c:spPr>
              <a:solidFill>
                <a:srgbClr val="B1ECEF"/>
              </a:solidFill>
              <a:ln cmpd="sng">
                <a:solidFill>
                  <a:srgbClr val="000000"/>
                </a:solidFill>
              </a:ln>
            </c:spPr>
          </c:dPt>
          <c:dPt>
            <c:idx val="1"/>
            <c:spPr>
              <a:solidFill>
                <a:srgbClr val="F33D31"/>
              </a:solidFill>
              <a:ln cmpd="sng">
                <a:solidFill>
                  <a:srgbClr val="000000"/>
                </a:solidFill>
              </a:ln>
            </c:spPr>
          </c:dPt>
          <c:dPt>
            <c:idx val="2"/>
            <c:spPr>
              <a:solidFill>
                <a:srgbClr val="75717B"/>
              </a:solidFill>
              <a:ln cmpd="sng">
                <a:solidFill>
                  <a:srgbClr val="000000"/>
                </a:solidFill>
              </a:ln>
            </c:spPr>
          </c:dPt>
          <c:dPt>
            <c:idx val="3"/>
            <c:spPr>
              <a:solidFill>
                <a:srgbClr val="EFC028"/>
              </a:solidFill>
              <a:ln cmpd="sng">
                <a:solidFill>
                  <a:srgbClr val="000000"/>
                </a:solidFill>
              </a:ln>
            </c:spPr>
          </c:dPt>
          <c:dLbls>
            <c:numFmt formatCode="General" sourceLinked="1"/>
            <c:txPr>
              <a:bodyPr/>
              <a:lstStyle/>
              <a:p>
                <a:pPr lvl="0">
                  <a:defRPr b="0" i="0" sz="1400">
                    <a:latin typeface="Century Gothic"/>
                  </a:defRPr>
                </a:pPr>
              </a:p>
            </c:txPr>
            <c:showLegendKey val="0"/>
            <c:showVal val="1"/>
            <c:showCatName val="0"/>
            <c:showSerName val="0"/>
            <c:showPercent val="0"/>
            <c:showBubbleSize val="0"/>
          </c:dLbls>
          <c:cat>
            <c:strRef>
              <c:f>'03-Inventory'!$F$26:$F$29</c:f>
            </c:strRef>
          </c:cat>
          <c:val>
            <c:numRef>
              <c:f>'03-Inventory'!$G$26:$G$29</c:f>
              <c:numCache/>
            </c:numRef>
          </c:val>
        </c:ser>
        <c:axId val="196368140"/>
        <c:axId val="698837551"/>
      </c:barChart>
      <c:catAx>
        <c:axId val="1963681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1800000"/>
          <a:lstStyle/>
          <a:p>
            <a:pPr lvl="0">
              <a:defRPr b="0" i="0" sz="1400">
                <a:solidFill>
                  <a:srgbClr val="000000"/>
                </a:solidFill>
                <a:latin typeface="Century Gothic"/>
              </a:defRPr>
            </a:pPr>
          </a:p>
        </c:txPr>
        <c:crossAx val="698837551"/>
      </c:catAx>
      <c:valAx>
        <c:axId val="698837551"/>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400">
                <a:solidFill>
                  <a:srgbClr val="000000"/>
                </a:solidFill>
                <a:latin typeface="Century Gothic"/>
              </a:defRPr>
            </a:pPr>
          </a:p>
        </c:txPr>
        <c:crossAx val="196368140"/>
        <c:majorUnit val="50.0"/>
      </c:valAx>
    </c:plotArea>
    <c:plotVisOnly val="1"/>
  </c:chart>
  <c:spPr>
    <a:solidFill>
      <a:srgbClr val="FFFFFF">
        <a:alpha val="0"/>
      </a:srgbClr>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45953485946707"/>
          <c:y val="0.025462793971945563"/>
          <c:w val="0.5638888888888889"/>
          <c:h val="0.9398148148148148"/>
        </c:manualLayout>
      </c:layout>
      <c:pieChart>
        <c:varyColors val="1"/>
        <c:ser>
          <c:idx val="0"/>
          <c:order val="0"/>
          <c:dPt>
            <c:idx val="0"/>
            <c:spPr>
              <a:solidFill>
                <a:srgbClr val="F3B610"/>
              </a:solidFill>
            </c:spPr>
          </c:dPt>
          <c:dPt>
            <c:idx val="1"/>
            <c:spPr>
              <a:solidFill>
                <a:srgbClr val="ABDD3D"/>
              </a:solidFill>
            </c:spPr>
          </c:dPt>
          <c:dPt>
            <c:idx val="2"/>
            <c:spPr>
              <a:solidFill>
                <a:srgbClr val="77DBFB"/>
              </a:solidFill>
            </c:spPr>
          </c:dPt>
          <c:dLbls>
            <c:showLegendKey val="0"/>
            <c:showVal val="1"/>
            <c:showCatName val="0"/>
            <c:showSerName val="0"/>
            <c:showPercent val="0"/>
            <c:showBubbleSize val="0"/>
            <c:showLeaderLines val="1"/>
          </c:dLbls>
          <c:cat>
            <c:strRef>
              <c:f>'04-Customer Management'!$B$26:$B$28</c:f>
            </c:strRef>
          </c:cat>
          <c:val>
            <c:numRef>
              <c:f>'04-Customer Management'!$C$26:$C$28</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128409031652503"/>
          <c:y val="0.025462793971945563"/>
          <c:w val="0.5638888888888889"/>
          <c:h val="0.9398148148148148"/>
        </c:manualLayout>
      </c:layout>
      <c:pieChart>
        <c:varyColors val="1"/>
        <c:ser>
          <c:idx val="0"/>
          <c:order val="0"/>
          <c:dPt>
            <c:idx val="0"/>
            <c:spPr>
              <a:solidFill>
                <a:srgbClr val="00EBF1"/>
              </a:solidFill>
            </c:spPr>
          </c:dPt>
          <c:dPt>
            <c:idx val="1"/>
            <c:spPr>
              <a:solidFill>
                <a:srgbClr val="FFC000"/>
              </a:solidFill>
            </c:spPr>
          </c:dPt>
          <c:dPt>
            <c:idx val="2"/>
            <c:spPr>
              <a:solidFill>
                <a:srgbClr val="EB0034"/>
              </a:solidFill>
            </c:spPr>
          </c:dPt>
          <c:dLbls>
            <c:showLegendKey val="0"/>
            <c:showVal val="1"/>
            <c:showCatName val="0"/>
            <c:showSerName val="0"/>
            <c:showPercent val="0"/>
            <c:showBubbleSize val="0"/>
            <c:showLeaderLines val="1"/>
          </c:dLbls>
          <c:cat>
            <c:strRef>
              <c:f>'04-Customer Management'!$B$29:$B$31</c:f>
            </c:strRef>
          </c:cat>
          <c:val>
            <c:numRef>
              <c:f>'04-Customer Management'!$C$29:$C$31</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1660305275052461"/>
          <c:y val="0.025462793971945563"/>
          <c:w val="0.8685697630620773"/>
          <c:h val="0.9398148148148148"/>
        </c:manualLayout>
      </c:layout>
      <c:barChart>
        <c:barDir val="col"/>
        <c:ser>
          <c:idx val="0"/>
          <c:order val="0"/>
          <c:spPr>
            <a:solidFill>
              <a:schemeClr val="accent1"/>
            </a:solidFill>
            <a:ln cmpd="sng">
              <a:solidFill>
                <a:srgbClr val="000000"/>
              </a:solidFill>
            </a:ln>
          </c:spPr>
          <c:dPt>
            <c:idx val="0"/>
            <c:spPr>
              <a:solidFill>
                <a:srgbClr val="B1ECEF"/>
              </a:solidFill>
              <a:ln cmpd="sng">
                <a:solidFill>
                  <a:srgbClr val="000000"/>
                </a:solidFill>
              </a:ln>
            </c:spPr>
          </c:dPt>
          <c:dPt>
            <c:idx val="1"/>
            <c:spPr>
              <a:solidFill>
                <a:srgbClr val="F33D31"/>
              </a:solidFill>
              <a:ln cmpd="sng">
                <a:solidFill>
                  <a:srgbClr val="000000"/>
                </a:solidFill>
              </a:ln>
            </c:spPr>
          </c:dPt>
          <c:dPt>
            <c:idx val="2"/>
            <c:spPr>
              <a:solidFill>
                <a:srgbClr val="75717B"/>
              </a:solidFill>
              <a:ln cmpd="sng">
                <a:solidFill>
                  <a:srgbClr val="000000"/>
                </a:solidFill>
              </a:ln>
            </c:spPr>
          </c:dPt>
          <c:dPt>
            <c:idx val="3"/>
            <c:spPr>
              <a:solidFill>
                <a:srgbClr val="EFC028"/>
              </a:solidFill>
              <a:ln cmpd="sng">
                <a:solidFill>
                  <a:srgbClr val="000000"/>
                </a:solidFill>
              </a:ln>
            </c:spPr>
          </c:dPt>
          <c:dLbls>
            <c:numFmt formatCode="General" sourceLinked="1"/>
            <c:txPr>
              <a:bodyPr/>
              <a:lstStyle/>
              <a:p>
                <a:pPr lvl="0">
                  <a:defRPr b="0" i="0" sz="1400">
                    <a:latin typeface="Century Gothic"/>
                  </a:defRPr>
                </a:pPr>
              </a:p>
            </c:txPr>
            <c:showLegendKey val="0"/>
            <c:showVal val="1"/>
            <c:showCatName val="0"/>
            <c:showSerName val="0"/>
            <c:showPercent val="0"/>
            <c:showBubbleSize val="0"/>
          </c:dLbls>
          <c:cat>
            <c:strRef>
              <c:f>'04-Customer Management'!$F$26:$F$29</c:f>
            </c:strRef>
          </c:cat>
          <c:val>
            <c:numRef>
              <c:f>'04-Customer Management'!$G$26:$G$29</c:f>
              <c:numCache/>
            </c:numRef>
          </c:val>
        </c:ser>
        <c:axId val="894986901"/>
        <c:axId val="2075005503"/>
      </c:barChart>
      <c:catAx>
        <c:axId val="8949869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1800000"/>
          <a:lstStyle/>
          <a:p>
            <a:pPr lvl="0">
              <a:defRPr b="0" i="0" sz="1400">
                <a:solidFill>
                  <a:srgbClr val="000000"/>
                </a:solidFill>
                <a:latin typeface="Century Gothic"/>
              </a:defRPr>
            </a:pPr>
          </a:p>
        </c:txPr>
        <c:crossAx val="2075005503"/>
      </c:catAx>
      <c:valAx>
        <c:axId val="2075005503"/>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400">
                <a:solidFill>
                  <a:srgbClr val="000000"/>
                </a:solidFill>
                <a:latin typeface="Century Gothic"/>
              </a:defRPr>
            </a:pPr>
          </a:p>
        </c:txPr>
        <c:crossAx val="894986901"/>
        <c:majorUnit val="50.0"/>
      </c:valAx>
    </c:plotArea>
    <c:plotVisOnly val="1"/>
  </c:chart>
  <c:spPr>
    <a:solidFill>
      <a:srgbClr val="FFFFFF">
        <a:alpha val="0"/>
      </a:srgbClr>
    </a:solidFill>
  </c:spPr>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45953485946707"/>
          <c:y val="0.025462793971945563"/>
          <c:w val="0.5638888888888889"/>
          <c:h val="0.9398148148148148"/>
        </c:manualLayout>
      </c:layout>
      <c:pieChart>
        <c:varyColors val="1"/>
        <c:ser>
          <c:idx val="0"/>
          <c:order val="0"/>
          <c:dPt>
            <c:idx val="0"/>
            <c:spPr>
              <a:solidFill>
                <a:srgbClr val="F3B610"/>
              </a:solidFill>
            </c:spPr>
          </c:dPt>
          <c:dPt>
            <c:idx val="1"/>
            <c:spPr>
              <a:solidFill>
                <a:srgbClr val="ABDD3D"/>
              </a:solidFill>
            </c:spPr>
          </c:dPt>
          <c:dPt>
            <c:idx val="2"/>
            <c:spPr>
              <a:solidFill>
                <a:srgbClr val="77DBFB"/>
              </a:solidFill>
            </c:spPr>
          </c:dPt>
          <c:dLbls>
            <c:showLegendKey val="0"/>
            <c:showVal val="1"/>
            <c:showCatName val="0"/>
            <c:showSerName val="0"/>
            <c:showPercent val="0"/>
            <c:showBubbleSize val="0"/>
            <c:showLeaderLines val="1"/>
          </c:dLbls>
          <c:cat>
            <c:strRef>
              <c:f>'05-Reporting &amp; Analytics'!$B$26:$B$28</c:f>
            </c:strRef>
          </c:cat>
          <c:val>
            <c:numRef>
              <c:f>'05-Reporting &amp; Analytics'!$C$26:$C$28</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1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128409031652503"/>
          <c:y val="0.025462793971945563"/>
          <c:w val="0.5638888888888889"/>
          <c:h val="0.9398148148148148"/>
        </c:manualLayout>
      </c:layout>
      <c:pieChart>
        <c:varyColors val="1"/>
        <c:ser>
          <c:idx val="0"/>
          <c:order val="0"/>
          <c:dPt>
            <c:idx val="0"/>
            <c:spPr>
              <a:solidFill>
                <a:srgbClr val="00EBF1"/>
              </a:solidFill>
            </c:spPr>
          </c:dPt>
          <c:dPt>
            <c:idx val="1"/>
            <c:spPr>
              <a:solidFill>
                <a:srgbClr val="FFC000"/>
              </a:solidFill>
            </c:spPr>
          </c:dPt>
          <c:dPt>
            <c:idx val="2"/>
            <c:spPr>
              <a:solidFill>
                <a:srgbClr val="EB0034"/>
              </a:solidFill>
            </c:spPr>
          </c:dPt>
          <c:dLbls>
            <c:showLegendKey val="0"/>
            <c:showVal val="1"/>
            <c:showCatName val="0"/>
            <c:showSerName val="0"/>
            <c:showPercent val="0"/>
            <c:showBubbleSize val="0"/>
            <c:showLeaderLines val="1"/>
          </c:dLbls>
          <c:cat>
            <c:strRef>
              <c:f>'05-Reporting &amp; Analytics'!$B$29:$B$31</c:f>
            </c:strRef>
          </c:cat>
          <c:val>
            <c:numRef>
              <c:f>'05-Reporting &amp; Analytics'!$C$29:$C$31</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1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1660305275052461"/>
          <c:y val="0.025462793971945563"/>
          <c:w val="0.8685697630620773"/>
          <c:h val="0.9398148148148148"/>
        </c:manualLayout>
      </c:layout>
      <c:barChart>
        <c:barDir val="col"/>
        <c:ser>
          <c:idx val="0"/>
          <c:order val="0"/>
          <c:spPr>
            <a:solidFill>
              <a:schemeClr val="accent1"/>
            </a:solidFill>
            <a:ln cmpd="sng">
              <a:solidFill>
                <a:srgbClr val="000000"/>
              </a:solidFill>
            </a:ln>
          </c:spPr>
          <c:dPt>
            <c:idx val="0"/>
            <c:spPr>
              <a:solidFill>
                <a:srgbClr val="B1ECEF"/>
              </a:solidFill>
              <a:ln cmpd="sng">
                <a:solidFill>
                  <a:srgbClr val="000000"/>
                </a:solidFill>
              </a:ln>
            </c:spPr>
          </c:dPt>
          <c:dPt>
            <c:idx val="1"/>
            <c:spPr>
              <a:solidFill>
                <a:srgbClr val="F33D31"/>
              </a:solidFill>
              <a:ln cmpd="sng">
                <a:solidFill>
                  <a:srgbClr val="000000"/>
                </a:solidFill>
              </a:ln>
            </c:spPr>
          </c:dPt>
          <c:dPt>
            <c:idx val="2"/>
            <c:spPr>
              <a:solidFill>
                <a:srgbClr val="75717B"/>
              </a:solidFill>
              <a:ln cmpd="sng">
                <a:solidFill>
                  <a:srgbClr val="000000"/>
                </a:solidFill>
              </a:ln>
            </c:spPr>
          </c:dPt>
          <c:dPt>
            <c:idx val="3"/>
            <c:spPr>
              <a:solidFill>
                <a:srgbClr val="EFC028"/>
              </a:solidFill>
              <a:ln cmpd="sng">
                <a:solidFill>
                  <a:srgbClr val="000000"/>
                </a:solidFill>
              </a:ln>
            </c:spPr>
          </c:dPt>
          <c:dLbls>
            <c:numFmt formatCode="General" sourceLinked="1"/>
            <c:txPr>
              <a:bodyPr/>
              <a:lstStyle/>
              <a:p>
                <a:pPr lvl="0">
                  <a:defRPr b="0" i="0" sz="1400">
                    <a:latin typeface="Century Gothic"/>
                  </a:defRPr>
                </a:pPr>
              </a:p>
            </c:txPr>
            <c:showLegendKey val="0"/>
            <c:showVal val="1"/>
            <c:showCatName val="0"/>
            <c:showSerName val="0"/>
            <c:showPercent val="0"/>
            <c:showBubbleSize val="0"/>
          </c:dLbls>
          <c:cat>
            <c:strRef>
              <c:f>'05-Reporting &amp; Analytics'!$F$26:$F$29</c:f>
            </c:strRef>
          </c:cat>
          <c:val>
            <c:numRef>
              <c:f>'05-Reporting &amp; Analytics'!$G$26:$G$29</c:f>
              <c:numCache/>
            </c:numRef>
          </c:val>
        </c:ser>
        <c:axId val="922674037"/>
        <c:axId val="366774484"/>
      </c:barChart>
      <c:catAx>
        <c:axId val="9226740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1800000"/>
          <a:lstStyle/>
          <a:p>
            <a:pPr lvl="0">
              <a:defRPr b="0" i="0" sz="1400">
                <a:solidFill>
                  <a:srgbClr val="000000"/>
                </a:solidFill>
                <a:latin typeface="Century Gothic"/>
              </a:defRPr>
            </a:pPr>
          </a:p>
        </c:txPr>
        <c:crossAx val="366774484"/>
      </c:catAx>
      <c:valAx>
        <c:axId val="366774484"/>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400">
                <a:solidFill>
                  <a:srgbClr val="000000"/>
                </a:solidFill>
                <a:latin typeface="Century Gothic"/>
              </a:defRPr>
            </a:pPr>
          </a:p>
        </c:txPr>
        <c:crossAx val="922674037"/>
        <c:majorUnit val="50.0"/>
      </c:valAx>
    </c:plotArea>
    <c:plotVisOnly val="1"/>
  </c:chart>
  <c:spPr>
    <a:solidFill>
      <a:srgbClr val="FFFFFF">
        <a:alpha val="0"/>
      </a:srgbClr>
    </a:solidFill>
  </c:spPr>
</c:chartSpace>
</file>

<file path=xl/charts/chart1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45953485946707"/>
          <c:y val="0.025462793971945563"/>
          <c:w val="0.5638888888888889"/>
          <c:h val="0.9398148148148148"/>
        </c:manualLayout>
      </c:layout>
      <c:pieChart>
        <c:varyColors val="1"/>
        <c:ser>
          <c:idx val="0"/>
          <c:order val="0"/>
          <c:dPt>
            <c:idx val="0"/>
            <c:spPr>
              <a:solidFill>
                <a:srgbClr val="F3B610"/>
              </a:solidFill>
            </c:spPr>
          </c:dPt>
          <c:dPt>
            <c:idx val="1"/>
            <c:spPr>
              <a:solidFill>
                <a:srgbClr val="ABDD3D"/>
              </a:solidFill>
            </c:spPr>
          </c:dPt>
          <c:dPt>
            <c:idx val="2"/>
            <c:spPr>
              <a:solidFill>
                <a:srgbClr val="77DBFB"/>
              </a:solidFill>
            </c:spPr>
          </c:dPt>
          <c:dLbls>
            <c:showLegendKey val="0"/>
            <c:showVal val="1"/>
            <c:showCatName val="0"/>
            <c:showSerName val="0"/>
            <c:showPercent val="0"/>
            <c:showBubbleSize val="0"/>
            <c:showLeaderLines val="1"/>
          </c:dLbls>
          <c:cat>
            <c:strRef>
              <c:f>'Integration &amp; Final UAT'!$B$26:$B$28</c:f>
            </c:strRef>
          </c:cat>
          <c:val>
            <c:numRef>
              <c:f>'Integration &amp; Final UAT'!$C$26:$C$28</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1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128409031652503"/>
          <c:y val="0.025462793971945563"/>
          <c:w val="0.5638888888888889"/>
          <c:h val="0.9398148148148148"/>
        </c:manualLayout>
      </c:layout>
      <c:pieChart>
        <c:varyColors val="1"/>
        <c:ser>
          <c:idx val="0"/>
          <c:order val="0"/>
          <c:dPt>
            <c:idx val="0"/>
            <c:spPr>
              <a:solidFill>
                <a:srgbClr val="00EBF1"/>
              </a:solidFill>
            </c:spPr>
          </c:dPt>
          <c:dPt>
            <c:idx val="1"/>
            <c:spPr>
              <a:solidFill>
                <a:srgbClr val="FFC000"/>
              </a:solidFill>
            </c:spPr>
          </c:dPt>
          <c:dPt>
            <c:idx val="2"/>
            <c:spPr>
              <a:solidFill>
                <a:srgbClr val="EB0034"/>
              </a:solidFill>
            </c:spPr>
          </c:dPt>
          <c:dLbls>
            <c:showLegendKey val="0"/>
            <c:showVal val="1"/>
            <c:showCatName val="0"/>
            <c:showSerName val="0"/>
            <c:showPercent val="0"/>
            <c:showBubbleSize val="0"/>
            <c:showLeaderLines val="1"/>
          </c:dLbls>
          <c:cat>
            <c:strRef>
              <c:f>'Integration &amp; Final UAT'!$B$29:$B$31</c:f>
            </c:strRef>
          </c:cat>
          <c:val>
            <c:numRef>
              <c:f>'Integration &amp; Final UAT'!$C$29:$C$31</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1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1660305275052461"/>
          <c:y val="0.025462793971945563"/>
          <c:w val="0.8685697630620773"/>
          <c:h val="0.9398148148148148"/>
        </c:manualLayout>
      </c:layout>
      <c:barChart>
        <c:barDir val="col"/>
        <c:ser>
          <c:idx val="0"/>
          <c:order val="0"/>
          <c:spPr>
            <a:solidFill>
              <a:schemeClr val="accent1"/>
            </a:solidFill>
            <a:ln cmpd="sng">
              <a:solidFill>
                <a:srgbClr val="000000"/>
              </a:solidFill>
            </a:ln>
          </c:spPr>
          <c:dPt>
            <c:idx val="0"/>
            <c:spPr>
              <a:solidFill>
                <a:srgbClr val="B1ECEF"/>
              </a:solidFill>
              <a:ln cmpd="sng">
                <a:solidFill>
                  <a:srgbClr val="000000"/>
                </a:solidFill>
              </a:ln>
            </c:spPr>
          </c:dPt>
          <c:dPt>
            <c:idx val="1"/>
            <c:spPr>
              <a:solidFill>
                <a:srgbClr val="F33D31"/>
              </a:solidFill>
              <a:ln cmpd="sng">
                <a:solidFill>
                  <a:srgbClr val="000000"/>
                </a:solidFill>
              </a:ln>
            </c:spPr>
          </c:dPt>
          <c:dPt>
            <c:idx val="2"/>
            <c:spPr>
              <a:solidFill>
                <a:srgbClr val="75717B"/>
              </a:solidFill>
              <a:ln cmpd="sng">
                <a:solidFill>
                  <a:srgbClr val="000000"/>
                </a:solidFill>
              </a:ln>
            </c:spPr>
          </c:dPt>
          <c:dPt>
            <c:idx val="3"/>
            <c:spPr>
              <a:solidFill>
                <a:srgbClr val="EFC028"/>
              </a:solidFill>
              <a:ln cmpd="sng">
                <a:solidFill>
                  <a:srgbClr val="000000"/>
                </a:solidFill>
              </a:ln>
            </c:spPr>
          </c:dPt>
          <c:dLbls>
            <c:numFmt formatCode="General" sourceLinked="1"/>
            <c:txPr>
              <a:bodyPr/>
              <a:lstStyle/>
              <a:p>
                <a:pPr lvl="0">
                  <a:defRPr b="0" i="0" sz="1400">
                    <a:latin typeface="Century Gothic"/>
                  </a:defRPr>
                </a:pPr>
              </a:p>
            </c:txPr>
            <c:showLegendKey val="0"/>
            <c:showVal val="1"/>
            <c:showCatName val="0"/>
            <c:showSerName val="0"/>
            <c:showPercent val="0"/>
            <c:showBubbleSize val="0"/>
          </c:dLbls>
          <c:cat>
            <c:strRef>
              <c:f>'Integration &amp; Final UAT'!$F$26:$F$29</c:f>
            </c:strRef>
          </c:cat>
          <c:val>
            <c:numRef>
              <c:f>'Integration &amp; Final UAT'!$G$26:$G$29</c:f>
              <c:numCache/>
            </c:numRef>
          </c:val>
        </c:ser>
        <c:axId val="531768815"/>
        <c:axId val="315530322"/>
      </c:barChart>
      <c:catAx>
        <c:axId val="5317688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1800000"/>
          <a:lstStyle/>
          <a:p>
            <a:pPr lvl="0">
              <a:defRPr b="0" i="0" sz="1400">
                <a:solidFill>
                  <a:srgbClr val="000000"/>
                </a:solidFill>
                <a:latin typeface="Century Gothic"/>
              </a:defRPr>
            </a:pPr>
          </a:p>
        </c:txPr>
        <c:crossAx val="315530322"/>
      </c:catAx>
      <c:valAx>
        <c:axId val="31553032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400">
                <a:solidFill>
                  <a:srgbClr val="000000"/>
                </a:solidFill>
                <a:latin typeface="Century Gothic"/>
              </a:defRPr>
            </a:pPr>
          </a:p>
        </c:txPr>
        <c:crossAx val="531768815"/>
        <c:majorUnit val="50.0"/>
      </c:valAx>
    </c:plotArea>
    <c:plotVisOnly val="1"/>
  </c:chart>
  <c:spPr>
    <a:solidFill>
      <a:srgbClr val="FFFFFF">
        <a:alpha val="0"/>
      </a:srgbClr>
    </a:solidFill>
  </c:spPr>
</c:chartSpace>
</file>

<file path=xl/charts/chart1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45953485946707"/>
          <c:y val="0.025462793971945563"/>
          <c:w val="0.5638888888888889"/>
          <c:h val="0.9398148148148148"/>
        </c:manualLayout>
      </c:layout>
      <c:pieChart>
        <c:varyColors val="1"/>
        <c:ser>
          <c:idx val="0"/>
          <c:order val="0"/>
          <c:dPt>
            <c:idx val="0"/>
            <c:spPr>
              <a:solidFill>
                <a:srgbClr val="F3B610"/>
              </a:solidFill>
            </c:spPr>
          </c:dPt>
          <c:dPt>
            <c:idx val="1"/>
            <c:spPr>
              <a:solidFill>
                <a:srgbClr val="ABDD3D"/>
              </a:solidFill>
            </c:spPr>
          </c:dPt>
          <c:dPt>
            <c:idx val="2"/>
            <c:spPr>
              <a:solidFill>
                <a:srgbClr val="77DBFB"/>
              </a:solidFill>
            </c:spPr>
          </c:dPt>
          <c:dLbls>
            <c:showLegendKey val="0"/>
            <c:showVal val="1"/>
            <c:showCatName val="0"/>
            <c:showSerName val="0"/>
            <c:showPercent val="0"/>
            <c:showBubbleSize val="0"/>
            <c:showLeaderLines val="1"/>
          </c:dLbls>
          <c:cat>
            <c:strRef>
              <c:f>'EXAMPLE - Agile Test Report'!$B$26:$B$28</c:f>
            </c:strRef>
          </c:cat>
          <c:val>
            <c:numRef>
              <c:f>'EXAMPLE - Agile Test Report'!$C$26:$C$28</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2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42128409031652503"/>
          <c:y val="0.025462793971945563"/>
          <c:w val="0.5638888888888889"/>
          <c:h val="0.9398148148148148"/>
        </c:manualLayout>
      </c:layout>
      <c:pieChart>
        <c:varyColors val="1"/>
        <c:ser>
          <c:idx val="0"/>
          <c:order val="0"/>
          <c:dPt>
            <c:idx val="0"/>
            <c:spPr>
              <a:solidFill>
                <a:srgbClr val="00EBF1"/>
              </a:solidFill>
            </c:spPr>
          </c:dPt>
          <c:dPt>
            <c:idx val="1"/>
            <c:spPr>
              <a:solidFill>
                <a:srgbClr val="FFC000"/>
              </a:solidFill>
            </c:spPr>
          </c:dPt>
          <c:dPt>
            <c:idx val="2"/>
            <c:spPr>
              <a:solidFill>
                <a:srgbClr val="EB0034"/>
              </a:solidFill>
            </c:spPr>
          </c:dPt>
          <c:dLbls>
            <c:showLegendKey val="0"/>
            <c:showVal val="1"/>
            <c:showCatName val="0"/>
            <c:showSerName val="0"/>
            <c:showPercent val="0"/>
            <c:showBubbleSize val="0"/>
            <c:showLeaderLines val="1"/>
          </c:dLbls>
          <c:cat>
            <c:strRef>
              <c:f>'EXAMPLE - Agile Test Report'!$B$29:$B$31</c:f>
            </c:strRef>
          </c:cat>
          <c:val>
            <c:numRef>
              <c:f>'EXAMPLE - Agile Test Report'!$C$29:$C$31</c:f>
              <c:numCache/>
            </c:numRef>
          </c:val>
        </c:ser>
        <c:dLbls>
          <c:showLegendKey val="0"/>
          <c:showVal val="0"/>
          <c:showCatName val="0"/>
          <c:showSerName val="0"/>
          <c:showPercent val="0"/>
          <c:showBubbleSize val="0"/>
        </c:dLbls>
        <c:firstSliceAng val="0"/>
      </c:pieChart>
    </c:plotArea>
    <c:legend>
      <c:legendPos val="l"/>
      <c:overlay val="0"/>
      <c:txPr>
        <a:bodyPr/>
        <a:lstStyle/>
        <a:p>
          <a:pPr lvl="0">
            <a:defRPr b="0" i="0" sz="1400">
              <a:solidFill>
                <a:srgbClr val="1A1A1A"/>
              </a:solidFill>
              <a:latin typeface="Century Gothic"/>
            </a:defRPr>
          </a:pPr>
        </a:p>
      </c:txPr>
    </c:legend>
    <c:plotVisOnly val="1"/>
  </c:chart>
  <c:spPr>
    <a:solidFill>
      <a:srgbClr val="FFFFFF">
        <a:alpha val="0"/>
      </a:srgbClr>
    </a:solidFill>
  </c:spPr>
</c:chartSpace>
</file>

<file path=xl/charts/chart2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1660305275052461"/>
          <c:y val="0.025462793971945563"/>
          <c:w val="0.8685697630620773"/>
          <c:h val="0.9398148148148148"/>
        </c:manualLayout>
      </c:layout>
      <c:barChart>
        <c:barDir val="col"/>
        <c:ser>
          <c:idx val="0"/>
          <c:order val="0"/>
          <c:spPr>
            <a:solidFill>
              <a:schemeClr val="accent1"/>
            </a:solidFill>
            <a:ln cmpd="sng">
              <a:solidFill>
                <a:srgbClr val="000000"/>
              </a:solidFill>
            </a:ln>
          </c:spPr>
          <c:dPt>
            <c:idx val="0"/>
            <c:spPr>
              <a:solidFill>
                <a:srgbClr val="B1ECEF"/>
              </a:solidFill>
              <a:ln cmpd="sng">
                <a:solidFill>
                  <a:srgbClr val="000000"/>
                </a:solidFill>
              </a:ln>
            </c:spPr>
          </c:dPt>
          <c:dPt>
            <c:idx val="1"/>
            <c:spPr>
              <a:solidFill>
                <a:srgbClr val="F33D31"/>
              </a:solidFill>
              <a:ln cmpd="sng">
                <a:solidFill>
                  <a:srgbClr val="000000"/>
                </a:solidFill>
              </a:ln>
            </c:spPr>
          </c:dPt>
          <c:dPt>
            <c:idx val="2"/>
            <c:spPr>
              <a:solidFill>
                <a:srgbClr val="75717B"/>
              </a:solidFill>
              <a:ln cmpd="sng">
                <a:solidFill>
                  <a:srgbClr val="000000"/>
                </a:solidFill>
              </a:ln>
            </c:spPr>
          </c:dPt>
          <c:dPt>
            <c:idx val="3"/>
            <c:spPr>
              <a:solidFill>
                <a:srgbClr val="EFC028"/>
              </a:solidFill>
              <a:ln cmpd="sng">
                <a:solidFill>
                  <a:srgbClr val="000000"/>
                </a:solidFill>
              </a:ln>
            </c:spPr>
          </c:dPt>
          <c:dLbls>
            <c:numFmt formatCode="General" sourceLinked="1"/>
            <c:txPr>
              <a:bodyPr/>
              <a:lstStyle/>
              <a:p>
                <a:pPr lvl="0">
                  <a:defRPr b="0" i="0" sz="1400">
                    <a:latin typeface="Century Gothic"/>
                  </a:defRPr>
                </a:pPr>
              </a:p>
            </c:txPr>
            <c:showLegendKey val="0"/>
            <c:showVal val="1"/>
            <c:showCatName val="0"/>
            <c:showSerName val="0"/>
            <c:showPercent val="0"/>
            <c:showBubbleSize val="0"/>
          </c:dLbls>
          <c:cat>
            <c:strRef>
              <c:f>'EXAMPLE - Agile Test Report'!$E$26:$E$29</c:f>
            </c:strRef>
          </c:cat>
          <c:val>
            <c:numRef>
              <c:f>'EXAMPLE - Agile Test Report'!$F$26:$F$29</c:f>
              <c:numCache/>
            </c:numRef>
          </c:val>
        </c:ser>
        <c:axId val="1581498915"/>
        <c:axId val="186034745"/>
      </c:barChart>
      <c:catAx>
        <c:axId val="15814989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1800000"/>
          <a:lstStyle/>
          <a:p>
            <a:pPr lvl="0">
              <a:defRPr b="0" i="0" sz="1400">
                <a:solidFill>
                  <a:srgbClr val="000000"/>
                </a:solidFill>
                <a:latin typeface="Century Gothic"/>
              </a:defRPr>
            </a:pPr>
          </a:p>
        </c:txPr>
        <c:crossAx val="186034745"/>
      </c:catAx>
      <c:valAx>
        <c:axId val="186034745"/>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400">
                <a:solidFill>
                  <a:srgbClr val="000000"/>
                </a:solidFill>
                <a:latin typeface="Century Gothic"/>
              </a:defRPr>
            </a:pPr>
          </a:p>
        </c:txPr>
        <c:crossAx val="1581498915"/>
        <c:majorUnit val="50.0"/>
      </c:valAx>
    </c:plotArea>
    <c:plotVisOnly val="1"/>
  </c:chart>
  <c:spPr>
    <a:solidFill>
      <a:srgbClr val="FFFFFF">
        <a:alpha val="0"/>
      </a:srgbClr>
    </a:solidFill>
  </c:spPr>
</c:chartSpace>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rawings/_rels/drawing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 Id="rId3"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 Id="rId3" Type="http://schemas.openxmlformats.org/officeDocument/2006/relationships/chart" Target="../charts/chart9.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0.xml"/><Relationship Id="rId2" Type="http://schemas.openxmlformats.org/officeDocument/2006/relationships/chart" Target="../charts/chart11.xml"/><Relationship Id="rId3" Type="http://schemas.openxmlformats.org/officeDocument/2006/relationships/chart" Target="../charts/chart1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3.xml"/><Relationship Id="rId2" Type="http://schemas.openxmlformats.org/officeDocument/2006/relationships/chart" Target="../charts/chart14.xml"/><Relationship Id="rId3" Type="http://schemas.openxmlformats.org/officeDocument/2006/relationships/chart" Target="../charts/chart15.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6.xml"/><Relationship Id="rId2" Type="http://schemas.openxmlformats.org/officeDocument/2006/relationships/chart" Target="../charts/chart17.xml"/><Relationship Id="rId3" Type="http://schemas.openxmlformats.org/officeDocument/2006/relationships/chart" Target="../charts/chart18.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9.xml"/><Relationship Id="rId2" Type="http://schemas.openxmlformats.org/officeDocument/2006/relationships/chart" Target="../charts/chart20.xml"/><Relationship Id="rId3" Type="http://schemas.openxmlformats.org/officeDocument/2006/relationships/chart" Target="../charts/chart2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276225</xdr:colOff>
      <xdr:row>1</xdr:row>
      <xdr:rowOff>533400</xdr:rowOff>
    </xdr:from>
    <xdr:ext cx="5962650" cy="22479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228600</xdr:colOff>
      <xdr:row>10</xdr:row>
      <xdr:rowOff>28575</xdr:rowOff>
    </xdr:from>
    <xdr:ext cx="6010275" cy="2362200"/>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8</xdr:col>
      <xdr:colOff>152400</xdr:colOff>
      <xdr:row>16</xdr:row>
      <xdr:rowOff>190500</xdr:rowOff>
    </xdr:from>
    <xdr:ext cx="6191250" cy="2438400"/>
    <xdr:graphicFrame>
      <xdr:nvGraphicFramePr>
        <xdr:cNvPr id="3" name="Chart 3"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361950</xdr:colOff>
      <xdr:row>4</xdr:row>
      <xdr:rowOff>19050</xdr:rowOff>
    </xdr:from>
    <xdr:ext cx="1466850" cy="923925"/>
    <xdr:sp>
      <xdr:nvSpPr>
        <xdr:cNvPr id="3" name="Shape 3"/>
        <xdr:cNvSpPr txBox="1"/>
      </xdr:nvSpPr>
      <xdr:spPr>
        <a:xfrm>
          <a:off x="3879150" y="3579975"/>
          <a:ext cx="1446900" cy="9069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Density</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12</xdr:row>
      <xdr:rowOff>276225</xdr:rowOff>
    </xdr:from>
    <xdr:ext cx="1847850" cy="847725"/>
    <xdr:sp>
      <xdr:nvSpPr>
        <xdr:cNvPr id="4" name="Shape 4"/>
        <xdr:cNvSpPr txBox="1"/>
      </xdr:nvSpPr>
      <xdr:spPr>
        <a:xfrm>
          <a:off x="3593400" y="3579975"/>
          <a:ext cx="1826700" cy="8316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r>
            <a:rPr lang="en-US" sz="2400">
              <a:solidFill>
                <a:srgbClr val="595959"/>
              </a:solidFill>
              <a:latin typeface="Century Gothic"/>
              <a:ea typeface="Century Gothic"/>
              <a:cs typeface="Century Gothic"/>
              <a:sym typeface="Century Gothic"/>
            </a:rPr>
            <a:t> </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Distribution</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15</xdr:row>
      <xdr:rowOff>495300</xdr:rowOff>
    </xdr:from>
    <xdr:ext cx="3733800" cy="428625"/>
    <xdr:sp>
      <xdr:nvSpPr>
        <xdr:cNvPr id="5" name="Shape 5"/>
        <xdr:cNvSpPr txBox="1"/>
      </xdr:nvSpPr>
      <xdr:spPr>
        <a:xfrm>
          <a:off x="3483863" y="3570450"/>
          <a:ext cx="3724275" cy="4191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Test Execution Status</a:t>
          </a:r>
          <a:endParaRPr sz="1400"/>
        </a:p>
      </xdr:txBody>
    </xdr:sp>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276225</xdr:colOff>
      <xdr:row>1</xdr:row>
      <xdr:rowOff>533400</xdr:rowOff>
    </xdr:from>
    <xdr:ext cx="5962650" cy="2247900"/>
    <xdr:graphicFrame>
      <xdr:nvGraphicFramePr>
        <xdr:cNvPr id="4" name="Chart 4"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228600</xdr:colOff>
      <xdr:row>10</xdr:row>
      <xdr:rowOff>28575</xdr:rowOff>
    </xdr:from>
    <xdr:ext cx="6010275" cy="2362200"/>
    <xdr:graphicFrame>
      <xdr:nvGraphicFramePr>
        <xdr:cNvPr id="5" name="Chart 5"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8</xdr:col>
      <xdr:colOff>152400</xdr:colOff>
      <xdr:row>16</xdr:row>
      <xdr:rowOff>190500</xdr:rowOff>
    </xdr:from>
    <xdr:ext cx="6191250" cy="2438400"/>
    <xdr:graphicFrame>
      <xdr:nvGraphicFramePr>
        <xdr:cNvPr id="6" name="Chart 6"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361950</xdr:colOff>
      <xdr:row>4</xdr:row>
      <xdr:rowOff>19050</xdr:rowOff>
    </xdr:from>
    <xdr:ext cx="1466850" cy="923925"/>
    <xdr:sp>
      <xdr:nvSpPr>
        <xdr:cNvPr id="3" name="Shape 3"/>
        <xdr:cNvSpPr txBox="1"/>
      </xdr:nvSpPr>
      <xdr:spPr>
        <a:xfrm>
          <a:off x="3879150" y="3579975"/>
          <a:ext cx="1446900" cy="9069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Density</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12</xdr:row>
      <xdr:rowOff>276225</xdr:rowOff>
    </xdr:from>
    <xdr:ext cx="1847850" cy="847725"/>
    <xdr:sp>
      <xdr:nvSpPr>
        <xdr:cNvPr id="4" name="Shape 4"/>
        <xdr:cNvSpPr txBox="1"/>
      </xdr:nvSpPr>
      <xdr:spPr>
        <a:xfrm>
          <a:off x="3593400" y="3579975"/>
          <a:ext cx="1826700" cy="8316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r>
            <a:rPr lang="en-US" sz="2400">
              <a:solidFill>
                <a:srgbClr val="595959"/>
              </a:solidFill>
              <a:latin typeface="Century Gothic"/>
              <a:ea typeface="Century Gothic"/>
              <a:cs typeface="Century Gothic"/>
              <a:sym typeface="Century Gothic"/>
            </a:rPr>
            <a:t> </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Distribution</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15</xdr:row>
      <xdr:rowOff>495300</xdr:rowOff>
    </xdr:from>
    <xdr:ext cx="3733800" cy="428625"/>
    <xdr:sp>
      <xdr:nvSpPr>
        <xdr:cNvPr id="5" name="Shape 5"/>
        <xdr:cNvSpPr txBox="1"/>
      </xdr:nvSpPr>
      <xdr:spPr>
        <a:xfrm>
          <a:off x="3483863" y="3570450"/>
          <a:ext cx="3724275" cy="4191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Test Execution Status</a:t>
          </a:r>
          <a:endParaRPr sz="1400"/>
        </a:p>
      </xdr:txBody>
    </xdr:sp>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276225</xdr:colOff>
      <xdr:row>1</xdr:row>
      <xdr:rowOff>533400</xdr:rowOff>
    </xdr:from>
    <xdr:ext cx="5962650" cy="2247900"/>
    <xdr:graphicFrame>
      <xdr:nvGraphicFramePr>
        <xdr:cNvPr id="7" name="Chart 7"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228600</xdr:colOff>
      <xdr:row>10</xdr:row>
      <xdr:rowOff>28575</xdr:rowOff>
    </xdr:from>
    <xdr:ext cx="6010275" cy="2362200"/>
    <xdr:graphicFrame>
      <xdr:nvGraphicFramePr>
        <xdr:cNvPr id="8" name="Chart 8"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8</xdr:col>
      <xdr:colOff>152400</xdr:colOff>
      <xdr:row>16</xdr:row>
      <xdr:rowOff>190500</xdr:rowOff>
    </xdr:from>
    <xdr:ext cx="6191250" cy="2438400"/>
    <xdr:graphicFrame>
      <xdr:nvGraphicFramePr>
        <xdr:cNvPr id="9" name="Chart 9"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361950</xdr:colOff>
      <xdr:row>4</xdr:row>
      <xdr:rowOff>19050</xdr:rowOff>
    </xdr:from>
    <xdr:ext cx="1466850" cy="923925"/>
    <xdr:sp>
      <xdr:nvSpPr>
        <xdr:cNvPr id="3" name="Shape 3"/>
        <xdr:cNvSpPr txBox="1"/>
      </xdr:nvSpPr>
      <xdr:spPr>
        <a:xfrm>
          <a:off x="3879150" y="3579975"/>
          <a:ext cx="1446900" cy="9069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Density</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12</xdr:row>
      <xdr:rowOff>276225</xdr:rowOff>
    </xdr:from>
    <xdr:ext cx="1847850" cy="847725"/>
    <xdr:sp>
      <xdr:nvSpPr>
        <xdr:cNvPr id="4" name="Shape 4"/>
        <xdr:cNvSpPr txBox="1"/>
      </xdr:nvSpPr>
      <xdr:spPr>
        <a:xfrm>
          <a:off x="3593400" y="3579975"/>
          <a:ext cx="1826700" cy="8316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r>
            <a:rPr lang="en-US" sz="2400">
              <a:solidFill>
                <a:srgbClr val="595959"/>
              </a:solidFill>
              <a:latin typeface="Century Gothic"/>
              <a:ea typeface="Century Gothic"/>
              <a:cs typeface="Century Gothic"/>
              <a:sym typeface="Century Gothic"/>
            </a:rPr>
            <a:t> </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Distribution</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15</xdr:row>
      <xdr:rowOff>495300</xdr:rowOff>
    </xdr:from>
    <xdr:ext cx="3733800" cy="428625"/>
    <xdr:sp>
      <xdr:nvSpPr>
        <xdr:cNvPr id="5" name="Shape 5"/>
        <xdr:cNvSpPr txBox="1"/>
      </xdr:nvSpPr>
      <xdr:spPr>
        <a:xfrm>
          <a:off x="3483863" y="3570450"/>
          <a:ext cx="3724275" cy="4191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Test Execution Status</a:t>
          </a:r>
          <a:endParaRPr sz="1400"/>
        </a:p>
      </xdr:txBody>
    </xdr:sp>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276225</xdr:colOff>
      <xdr:row>1</xdr:row>
      <xdr:rowOff>533400</xdr:rowOff>
    </xdr:from>
    <xdr:ext cx="5962650" cy="2247900"/>
    <xdr:graphicFrame>
      <xdr:nvGraphicFramePr>
        <xdr:cNvPr id="10" name="Chart 10"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228600</xdr:colOff>
      <xdr:row>10</xdr:row>
      <xdr:rowOff>28575</xdr:rowOff>
    </xdr:from>
    <xdr:ext cx="6010275" cy="2362200"/>
    <xdr:graphicFrame>
      <xdr:nvGraphicFramePr>
        <xdr:cNvPr id="11" name="Chart 11"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8</xdr:col>
      <xdr:colOff>152400</xdr:colOff>
      <xdr:row>16</xdr:row>
      <xdr:rowOff>190500</xdr:rowOff>
    </xdr:from>
    <xdr:ext cx="6191250" cy="2438400"/>
    <xdr:graphicFrame>
      <xdr:nvGraphicFramePr>
        <xdr:cNvPr id="12" name="Chart 12"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361950</xdr:colOff>
      <xdr:row>4</xdr:row>
      <xdr:rowOff>19050</xdr:rowOff>
    </xdr:from>
    <xdr:ext cx="1466850" cy="923925"/>
    <xdr:sp>
      <xdr:nvSpPr>
        <xdr:cNvPr id="3" name="Shape 3"/>
        <xdr:cNvSpPr txBox="1"/>
      </xdr:nvSpPr>
      <xdr:spPr>
        <a:xfrm>
          <a:off x="3879150" y="3579975"/>
          <a:ext cx="1446900" cy="9069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Density</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12</xdr:row>
      <xdr:rowOff>276225</xdr:rowOff>
    </xdr:from>
    <xdr:ext cx="1847850" cy="847725"/>
    <xdr:sp>
      <xdr:nvSpPr>
        <xdr:cNvPr id="4" name="Shape 4"/>
        <xdr:cNvSpPr txBox="1"/>
      </xdr:nvSpPr>
      <xdr:spPr>
        <a:xfrm>
          <a:off x="3593400" y="3579975"/>
          <a:ext cx="1826700" cy="8316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r>
            <a:rPr lang="en-US" sz="2400">
              <a:solidFill>
                <a:srgbClr val="595959"/>
              </a:solidFill>
              <a:latin typeface="Century Gothic"/>
              <a:ea typeface="Century Gothic"/>
              <a:cs typeface="Century Gothic"/>
              <a:sym typeface="Century Gothic"/>
            </a:rPr>
            <a:t> </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Distribution</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15</xdr:row>
      <xdr:rowOff>495300</xdr:rowOff>
    </xdr:from>
    <xdr:ext cx="3733800" cy="428625"/>
    <xdr:sp>
      <xdr:nvSpPr>
        <xdr:cNvPr id="5" name="Shape 5"/>
        <xdr:cNvSpPr txBox="1"/>
      </xdr:nvSpPr>
      <xdr:spPr>
        <a:xfrm>
          <a:off x="3483863" y="3570450"/>
          <a:ext cx="3724275" cy="4191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Test Execution Status</a:t>
          </a:r>
          <a:endParaRPr sz="1400"/>
        </a:p>
      </xdr:txBody>
    </xdr:sp>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276225</xdr:colOff>
      <xdr:row>1</xdr:row>
      <xdr:rowOff>533400</xdr:rowOff>
    </xdr:from>
    <xdr:ext cx="5962650" cy="2247900"/>
    <xdr:graphicFrame>
      <xdr:nvGraphicFramePr>
        <xdr:cNvPr id="13" name="Chart 13"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228600</xdr:colOff>
      <xdr:row>10</xdr:row>
      <xdr:rowOff>28575</xdr:rowOff>
    </xdr:from>
    <xdr:ext cx="6010275" cy="2362200"/>
    <xdr:graphicFrame>
      <xdr:nvGraphicFramePr>
        <xdr:cNvPr id="14" name="Chart 14"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8</xdr:col>
      <xdr:colOff>152400</xdr:colOff>
      <xdr:row>16</xdr:row>
      <xdr:rowOff>190500</xdr:rowOff>
    </xdr:from>
    <xdr:ext cx="6191250" cy="2438400"/>
    <xdr:graphicFrame>
      <xdr:nvGraphicFramePr>
        <xdr:cNvPr id="15" name="Chart 15"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361950</xdr:colOff>
      <xdr:row>4</xdr:row>
      <xdr:rowOff>19050</xdr:rowOff>
    </xdr:from>
    <xdr:ext cx="1466850" cy="923925"/>
    <xdr:sp>
      <xdr:nvSpPr>
        <xdr:cNvPr id="3" name="Shape 3"/>
        <xdr:cNvSpPr txBox="1"/>
      </xdr:nvSpPr>
      <xdr:spPr>
        <a:xfrm>
          <a:off x="3879150" y="3579975"/>
          <a:ext cx="1446900" cy="9069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Density</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12</xdr:row>
      <xdr:rowOff>276225</xdr:rowOff>
    </xdr:from>
    <xdr:ext cx="1847850" cy="847725"/>
    <xdr:sp>
      <xdr:nvSpPr>
        <xdr:cNvPr id="4" name="Shape 4"/>
        <xdr:cNvSpPr txBox="1"/>
      </xdr:nvSpPr>
      <xdr:spPr>
        <a:xfrm>
          <a:off x="3593400" y="3579975"/>
          <a:ext cx="1826700" cy="8316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r>
            <a:rPr lang="en-US" sz="2400">
              <a:solidFill>
                <a:srgbClr val="595959"/>
              </a:solidFill>
              <a:latin typeface="Century Gothic"/>
              <a:ea typeface="Century Gothic"/>
              <a:cs typeface="Century Gothic"/>
              <a:sym typeface="Century Gothic"/>
            </a:rPr>
            <a:t> </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Distribution</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15</xdr:row>
      <xdr:rowOff>495300</xdr:rowOff>
    </xdr:from>
    <xdr:ext cx="3733800" cy="428625"/>
    <xdr:sp>
      <xdr:nvSpPr>
        <xdr:cNvPr id="5" name="Shape 5"/>
        <xdr:cNvSpPr txBox="1"/>
      </xdr:nvSpPr>
      <xdr:spPr>
        <a:xfrm>
          <a:off x="3483863" y="3570450"/>
          <a:ext cx="3724275" cy="4191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Test Execution Status</a:t>
          </a:r>
          <a:endParaRPr sz="1400"/>
        </a:p>
      </xdr:txBody>
    </xdr:sp>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276225</xdr:colOff>
      <xdr:row>1</xdr:row>
      <xdr:rowOff>533400</xdr:rowOff>
    </xdr:from>
    <xdr:ext cx="5962650" cy="2247900"/>
    <xdr:graphicFrame>
      <xdr:nvGraphicFramePr>
        <xdr:cNvPr id="16" name="Chart 16"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228600</xdr:colOff>
      <xdr:row>10</xdr:row>
      <xdr:rowOff>28575</xdr:rowOff>
    </xdr:from>
    <xdr:ext cx="6010275" cy="2362200"/>
    <xdr:graphicFrame>
      <xdr:nvGraphicFramePr>
        <xdr:cNvPr id="17" name="Chart 17"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8</xdr:col>
      <xdr:colOff>152400</xdr:colOff>
      <xdr:row>16</xdr:row>
      <xdr:rowOff>190500</xdr:rowOff>
    </xdr:from>
    <xdr:ext cx="6191250" cy="2438400"/>
    <xdr:graphicFrame>
      <xdr:nvGraphicFramePr>
        <xdr:cNvPr id="18" name="Chart 18"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361950</xdr:colOff>
      <xdr:row>4</xdr:row>
      <xdr:rowOff>19050</xdr:rowOff>
    </xdr:from>
    <xdr:ext cx="1466850" cy="923925"/>
    <xdr:sp>
      <xdr:nvSpPr>
        <xdr:cNvPr id="3" name="Shape 3"/>
        <xdr:cNvSpPr txBox="1"/>
      </xdr:nvSpPr>
      <xdr:spPr>
        <a:xfrm>
          <a:off x="3879150" y="3579975"/>
          <a:ext cx="1446900" cy="9069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Density</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12</xdr:row>
      <xdr:rowOff>276225</xdr:rowOff>
    </xdr:from>
    <xdr:ext cx="1847850" cy="847725"/>
    <xdr:sp>
      <xdr:nvSpPr>
        <xdr:cNvPr id="4" name="Shape 4"/>
        <xdr:cNvSpPr txBox="1"/>
      </xdr:nvSpPr>
      <xdr:spPr>
        <a:xfrm>
          <a:off x="3593400" y="3579975"/>
          <a:ext cx="1826700" cy="8316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r>
            <a:rPr lang="en-US" sz="2400">
              <a:solidFill>
                <a:srgbClr val="595959"/>
              </a:solidFill>
              <a:latin typeface="Century Gothic"/>
              <a:ea typeface="Century Gothic"/>
              <a:cs typeface="Century Gothic"/>
              <a:sym typeface="Century Gothic"/>
            </a:rPr>
            <a:t> </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Distribution</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8</xdr:col>
      <xdr:colOff>333375</xdr:colOff>
      <xdr:row>15</xdr:row>
      <xdr:rowOff>495300</xdr:rowOff>
    </xdr:from>
    <xdr:ext cx="3733800" cy="428625"/>
    <xdr:sp>
      <xdr:nvSpPr>
        <xdr:cNvPr id="5" name="Shape 5"/>
        <xdr:cNvSpPr txBox="1"/>
      </xdr:nvSpPr>
      <xdr:spPr>
        <a:xfrm>
          <a:off x="3483863" y="3570450"/>
          <a:ext cx="3724275" cy="4191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Test Execution Status</a:t>
          </a:r>
          <a:endParaRPr sz="1400"/>
        </a:p>
      </xdr:txBody>
    </xdr:sp>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276225</xdr:colOff>
      <xdr:row>1</xdr:row>
      <xdr:rowOff>533400</xdr:rowOff>
    </xdr:from>
    <xdr:ext cx="5962650" cy="2247900"/>
    <xdr:graphicFrame>
      <xdr:nvGraphicFramePr>
        <xdr:cNvPr id="19" name="Chart 19"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228600</xdr:colOff>
      <xdr:row>10</xdr:row>
      <xdr:rowOff>28575</xdr:rowOff>
    </xdr:from>
    <xdr:ext cx="6010275" cy="2362200"/>
    <xdr:graphicFrame>
      <xdr:nvGraphicFramePr>
        <xdr:cNvPr id="20" name="Chart 20"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6</xdr:col>
      <xdr:colOff>152400</xdr:colOff>
      <xdr:row>16</xdr:row>
      <xdr:rowOff>190500</xdr:rowOff>
    </xdr:from>
    <xdr:ext cx="6191250" cy="2438400"/>
    <xdr:graphicFrame>
      <xdr:nvGraphicFramePr>
        <xdr:cNvPr id="21" name="Chart 21"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6</xdr:col>
      <xdr:colOff>361950</xdr:colOff>
      <xdr:row>4</xdr:row>
      <xdr:rowOff>19050</xdr:rowOff>
    </xdr:from>
    <xdr:ext cx="1466850" cy="923925"/>
    <xdr:sp>
      <xdr:nvSpPr>
        <xdr:cNvPr id="3" name="Shape 3"/>
        <xdr:cNvSpPr txBox="1"/>
      </xdr:nvSpPr>
      <xdr:spPr>
        <a:xfrm>
          <a:off x="3879150" y="3579975"/>
          <a:ext cx="1446900" cy="9069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Density</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6</xdr:col>
      <xdr:colOff>333375</xdr:colOff>
      <xdr:row>12</xdr:row>
      <xdr:rowOff>276225</xdr:rowOff>
    </xdr:from>
    <xdr:ext cx="1847850" cy="847725"/>
    <xdr:sp>
      <xdr:nvSpPr>
        <xdr:cNvPr id="4" name="Shape 4"/>
        <xdr:cNvSpPr txBox="1"/>
      </xdr:nvSpPr>
      <xdr:spPr>
        <a:xfrm>
          <a:off x="3593400" y="3579975"/>
          <a:ext cx="1826700" cy="8316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Defect</a:t>
          </a:r>
          <a:r>
            <a:rPr lang="en-US" sz="2400">
              <a:solidFill>
                <a:srgbClr val="595959"/>
              </a:solidFill>
              <a:latin typeface="Century Gothic"/>
              <a:ea typeface="Century Gothic"/>
              <a:cs typeface="Century Gothic"/>
              <a:sym typeface="Century Gothic"/>
            </a:rPr>
            <a:t> </a:t>
          </a:r>
          <a:endParaRPr sz="2400">
            <a:solidFill>
              <a:srgbClr val="595959"/>
            </a:solidFill>
            <a:latin typeface="Century Gothic"/>
            <a:ea typeface="Century Gothic"/>
            <a:cs typeface="Century Gothic"/>
            <a:sym typeface="Century Gothic"/>
          </a:endParaRPr>
        </a:p>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Distribution</a:t>
          </a:r>
          <a:endParaRPr sz="2400">
            <a:solidFill>
              <a:srgbClr val="595959"/>
            </a:solidFill>
            <a:latin typeface="Century Gothic"/>
            <a:ea typeface="Century Gothic"/>
            <a:cs typeface="Century Gothic"/>
            <a:sym typeface="Century Gothic"/>
          </a:endParaRPr>
        </a:p>
      </xdr:txBody>
    </xdr:sp>
    <xdr:clientData fLocksWithSheet="0"/>
  </xdr:oneCellAnchor>
  <xdr:oneCellAnchor>
    <xdr:from>
      <xdr:col>6</xdr:col>
      <xdr:colOff>333375</xdr:colOff>
      <xdr:row>15</xdr:row>
      <xdr:rowOff>495300</xdr:rowOff>
    </xdr:from>
    <xdr:ext cx="3733800" cy="428625"/>
    <xdr:sp>
      <xdr:nvSpPr>
        <xdr:cNvPr id="5" name="Shape 5"/>
        <xdr:cNvSpPr txBox="1"/>
      </xdr:nvSpPr>
      <xdr:spPr>
        <a:xfrm>
          <a:off x="3483863" y="3570450"/>
          <a:ext cx="3724275" cy="419100"/>
        </a:xfrm>
        <a:prstGeom prst="rect">
          <a:avLst/>
        </a:prstGeom>
        <a:noFill/>
        <a:ln>
          <a:noFill/>
        </a:ln>
      </xdr:spPr>
      <xdr:txBody>
        <a:bodyPr anchorCtr="0" anchor="t" bIns="0" lIns="0" spcFirstLastPara="1" rIns="0" wrap="square" tIns="0">
          <a:noAutofit/>
        </a:bodyPr>
        <a:lstStyle/>
        <a:p>
          <a:pPr indent="0" lvl="0" marL="0" rtl="0" algn="l">
            <a:spcBef>
              <a:spcPts val="0"/>
            </a:spcBef>
            <a:spcAft>
              <a:spcPts val="0"/>
            </a:spcAft>
            <a:buNone/>
          </a:pPr>
          <a:r>
            <a:rPr lang="en-US" sz="2400">
              <a:solidFill>
                <a:srgbClr val="595959"/>
              </a:solidFill>
              <a:latin typeface="Century Gothic"/>
              <a:ea typeface="Century Gothic"/>
              <a:cs typeface="Century Gothic"/>
              <a:sym typeface="Century Gothic"/>
            </a:rPr>
            <a:t>Test Execution Status</a:t>
          </a:r>
          <a:endParaRPr sz="1400"/>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auie Marie De Guzman" id="{1fa30700-be4f-4b50-afd4-ba4abb1c23e3}"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J8" dT="2026-02-08T02:43:28.00" personId="{1fa30700-be4f-4b50-afd4-ba4abb1c23e3}" id="{5baceebe-4d98-4b6c-ad23-59cbb3fb99a7}" done="1">
    <x18tc:text xml:space="preserve">not sure if falls to fr-7</x18tc:text>
  </x18tc:threadedComment>
  <x18tc:threadedComment ref="J1" dT="2026-02-07T17:55:26.00" personId="{1fa30700-be4f-4b50-afd4-ba4abb1c23e3}" id="{3f06ac7e-95ff-4d25-84f8-9a0ea3bbe5ed}" done="0">
    <x18tc:text xml:space="preserve">next task: just mapping the uc/us to the fr/nrfs</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62" dT="2026-02-08T03:16:50.00" personId="{1fa30700-be4f-4b50-afd4-ba4abb1c23e3}" id="{666ed7d7-52ec-489f-8d41-0962d912f49d}" done="0">
    <x18tc:text xml:space="preserve">TO DO: Align test cases to acceptance criteria per module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canva.com/design/DAHAPXrpGws/ho4AtDiaoLu7CXx6K7bywA/edit" TargetMode="External"/><Relationship Id="rId2" Type="http://schemas.openxmlformats.org/officeDocument/2006/relationships/hyperlink" Target="https://www.canva.com/design/DAHAbsBReKc/K7DVozPNN19m-SQVCU_dng/edit" TargetMode="External"/><Relationship Id="rId3" Type="http://schemas.openxmlformats.org/officeDocument/2006/relationships/hyperlink" Target="https://docs.google.com/document/d/1Xf9WK0XWoZ7IlJL5cm33WI4vBs3ETrkiVMCMHAHvwCQ/edit?tab=t.gzz3973mlmy2" TargetMode="External"/><Relationship Id="rId4" Type="http://schemas.openxmlformats.org/officeDocument/2006/relationships/hyperlink" Target="https://docs.google.com/document/d/1Xf9WK0XWoZ7IlJL5cm33WI4vBs3ETrkiVMCMHAHvwCQ/edit?tab=t.7v9p04nxyrs3" TargetMode="External"/><Relationship Id="rId5" Type="http://schemas.openxmlformats.org/officeDocument/2006/relationships/hyperlink" Target="https://docs.google.com/document/d/1Xf9WK0XWoZ7IlJL5cm33WI4vBs3ETrkiVMCMHAHvwCQ/edit?tab=t.m5lqvjchyend" TargetMode="External"/><Relationship Id="rId6" Type="http://schemas.openxmlformats.org/officeDocument/2006/relationships/hyperlink" Target="https://docs.google.com/spreadsheets/d/1iPjZftaEwcj4awwSJpqDwTaZ-FTeWqSKOOK8zmD2WSI/edit?gid=0" TargetMode="External"/><Relationship Id="rId7" Type="http://schemas.openxmlformats.org/officeDocument/2006/relationships/hyperlink" Target="https://docs.google.com/spreadsheets/d/1iPjZftaEwcj4awwSJpqDwTaZ-FTeWqSKOOK8zmD2WSI/edit?gid=0" TargetMode="External"/><Relationship Id="rId8"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document/d/1YIW_m40C0-NtCzmlRX3IZulwzk-hLny8KOUx-M9MhI4/edit?tab=t.0"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4.xml"/><Relationship Id="rId5"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6.xml"/><Relationship Id="rId5"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sheetViews>
  <sheetFormatPr customHeight="1" defaultColWidth="11.22" defaultRowHeight="15.0"/>
  <sheetData>
    <row r="1">
      <c r="A1" s="1"/>
      <c r="B1" s="2" t="s">
        <v>0</v>
      </c>
      <c r="C1" s="3"/>
      <c r="D1" s="3"/>
      <c r="E1" s="3"/>
      <c r="F1" s="3"/>
      <c r="G1" s="3"/>
      <c r="H1" s="3"/>
      <c r="I1" s="4"/>
      <c r="J1" s="1"/>
    </row>
    <row r="2">
      <c r="A2" s="1"/>
      <c r="B2" s="5"/>
      <c r="I2" s="6"/>
      <c r="J2" s="1"/>
    </row>
    <row r="3">
      <c r="A3" s="7"/>
      <c r="B3" s="8" t="s">
        <v>1</v>
      </c>
      <c r="C3" s="8" t="s">
        <v>2</v>
      </c>
      <c r="D3" s="9" t="s">
        <v>3</v>
      </c>
      <c r="E3" s="10"/>
      <c r="F3" s="9" t="s">
        <v>4</v>
      </c>
      <c r="G3" s="10"/>
      <c r="H3" s="9" t="s">
        <v>5</v>
      </c>
      <c r="I3" s="10"/>
      <c r="J3" s="11"/>
    </row>
    <row r="4">
      <c r="A4" s="7"/>
      <c r="B4" s="12" t="s">
        <v>6</v>
      </c>
      <c r="C4" s="13" t="s">
        <v>7</v>
      </c>
      <c r="D4" s="14" t="s">
        <v>8</v>
      </c>
      <c r="E4" s="15"/>
      <c r="F4" s="14" t="s">
        <v>9</v>
      </c>
      <c r="G4" s="15"/>
      <c r="H4" s="14">
        <v>9.164470151E9</v>
      </c>
      <c r="I4" s="15"/>
      <c r="J4" s="11"/>
    </row>
    <row r="5">
      <c r="A5" s="7"/>
      <c r="B5" s="16" t="s">
        <v>10</v>
      </c>
      <c r="C5" s="17" t="s">
        <v>11</v>
      </c>
      <c r="D5" s="14" t="s">
        <v>12</v>
      </c>
      <c r="E5" s="15"/>
      <c r="F5" s="14" t="s">
        <v>13</v>
      </c>
      <c r="G5" s="15"/>
      <c r="H5" s="14">
        <v>9.777004003E9</v>
      </c>
      <c r="I5" s="15"/>
      <c r="J5" s="11"/>
    </row>
    <row r="6">
      <c r="A6" s="7"/>
      <c r="B6" s="18"/>
      <c r="C6" s="18"/>
      <c r="D6" s="19"/>
      <c r="E6" s="15"/>
      <c r="F6" s="19"/>
      <c r="G6" s="15"/>
      <c r="H6" s="19"/>
      <c r="I6" s="15"/>
      <c r="J6" s="11"/>
    </row>
    <row r="7">
      <c r="A7" s="7"/>
      <c r="B7" s="20"/>
      <c r="C7" s="20"/>
      <c r="D7" s="19"/>
      <c r="E7" s="15"/>
      <c r="F7" s="19"/>
      <c r="G7" s="15"/>
      <c r="H7" s="19"/>
      <c r="I7" s="15"/>
      <c r="J7" s="11"/>
    </row>
    <row r="8">
      <c r="A8" s="1"/>
      <c r="B8" s="21" t="s">
        <v>14</v>
      </c>
      <c r="F8" s="22"/>
      <c r="G8" s="21" t="s">
        <v>15</v>
      </c>
      <c r="J8" s="1"/>
    </row>
    <row r="9">
      <c r="A9" s="1"/>
      <c r="B9" s="5"/>
      <c r="F9" s="1"/>
      <c r="G9" s="5"/>
      <c r="J9" s="1"/>
    </row>
    <row r="10">
      <c r="A10" s="1"/>
      <c r="B10" s="23" t="s">
        <v>16</v>
      </c>
      <c r="F10" s="1"/>
      <c r="G10" s="24" t="s">
        <v>17</v>
      </c>
      <c r="J10" s="1"/>
    </row>
    <row r="11">
      <c r="A11" s="1"/>
      <c r="F11" s="1"/>
      <c r="G11" s="1"/>
      <c r="H11" s="1"/>
      <c r="I11" s="1"/>
      <c r="J11" s="1"/>
    </row>
    <row r="12">
      <c r="A12" s="1"/>
      <c r="F12" s="1"/>
      <c r="G12" s="24" t="s">
        <v>18</v>
      </c>
      <c r="J12" s="1"/>
    </row>
    <row r="13">
      <c r="A13" s="1"/>
      <c r="F13" s="1"/>
      <c r="G13" s="1"/>
      <c r="H13" s="1"/>
      <c r="I13" s="1"/>
      <c r="J13" s="7"/>
    </row>
    <row r="14">
      <c r="A14" s="1"/>
      <c r="F14" s="1"/>
      <c r="G14" s="24" t="s">
        <v>19</v>
      </c>
      <c r="J14" s="1"/>
    </row>
    <row r="15">
      <c r="A15" s="1"/>
      <c r="B15" s="1"/>
      <c r="C15" s="1"/>
      <c r="D15" s="1"/>
      <c r="E15" s="1"/>
      <c r="F15" s="1"/>
      <c r="G15" s="1"/>
      <c r="H15" s="1"/>
      <c r="I15" s="1"/>
      <c r="J15" s="1"/>
    </row>
    <row r="16">
      <c r="A16" s="1"/>
      <c r="B16" s="1"/>
      <c r="C16" s="1"/>
      <c r="D16" s="1"/>
      <c r="E16" s="1"/>
      <c r="F16" s="1"/>
      <c r="G16" s="1"/>
      <c r="H16" s="1"/>
      <c r="I16" s="1"/>
      <c r="J16" s="1"/>
    </row>
    <row r="17">
      <c r="A17" s="1"/>
      <c r="B17" s="1"/>
      <c r="C17" s="1"/>
      <c r="D17" s="1"/>
      <c r="E17" s="1"/>
      <c r="F17" s="1"/>
      <c r="G17" s="1"/>
      <c r="H17" s="1"/>
      <c r="I17" s="1"/>
      <c r="J17" s="1"/>
    </row>
  </sheetData>
  <mergeCells count="22">
    <mergeCell ref="B1:I2"/>
    <mergeCell ref="D3:E3"/>
    <mergeCell ref="F3:G3"/>
    <mergeCell ref="H3:I3"/>
    <mergeCell ref="D4:E4"/>
    <mergeCell ref="F4:G4"/>
    <mergeCell ref="H4:I4"/>
    <mergeCell ref="F7:G7"/>
    <mergeCell ref="H7:I7"/>
    <mergeCell ref="B8:E9"/>
    <mergeCell ref="G8:I9"/>
    <mergeCell ref="B10:E14"/>
    <mergeCell ref="G10:I10"/>
    <mergeCell ref="G12:I12"/>
    <mergeCell ref="G14:I14"/>
    <mergeCell ref="D5:E5"/>
    <mergeCell ref="F5:G5"/>
    <mergeCell ref="H5:I5"/>
    <mergeCell ref="D6:E6"/>
    <mergeCell ref="F6:G6"/>
    <mergeCell ref="H6:I6"/>
    <mergeCell ref="D7:E7"/>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A0034"/>
    <outlinePr summaryBelow="0" summaryRight="0"/>
  </sheetPr>
  <sheetViews>
    <sheetView workbookViewId="0"/>
  </sheetViews>
  <sheetFormatPr customHeight="1" defaultColWidth="11.22" defaultRowHeight="15.0"/>
  <cols>
    <col customWidth="1" min="2" max="2" width="14.11"/>
    <col customWidth="1" min="3" max="3" width="13.33"/>
    <col customWidth="1" min="4" max="4" width="19.33"/>
  </cols>
  <sheetData>
    <row r="1">
      <c r="A1" s="25" t="s">
        <v>20</v>
      </c>
    </row>
    <row r="2">
      <c r="A2" s="26" t="s">
        <v>21</v>
      </c>
      <c r="B2" s="27"/>
      <c r="C2" s="28" t="s">
        <v>22</v>
      </c>
      <c r="D2" s="28" t="s">
        <v>23</v>
      </c>
      <c r="E2" s="28" t="s">
        <v>24</v>
      </c>
      <c r="F2" s="29" t="s">
        <v>25</v>
      </c>
      <c r="G2" s="27"/>
    </row>
    <row r="3">
      <c r="A3" s="30" t="s">
        <v>26</v>
      </c>
      <c r="C3" s="31">
        <v>46059.0</v>
      </c>
      <c r="D3" s="32">
        <f t="shared" ref="D3:D8" si="1">DATEVALUE(C3)-TODAY()</f>
        <v>-3</v>
      </c>
      <c r="E3" s="33" t="s">
        <v>27</v>
      </c>
      <c r="F3" s="34"/>
    </row>
    <row r="4">
      <c r="A4" s="30" t="s">
        <v>28</v>
      </c>
      <c r="C4" s="31">
        <v>46067.0</v>
      </c>
      <c r="D4" s="35">
        <f t="shared" si="1"/>
        <v>5</v>
      </c>
      <c r="E4" s="33" t="s">
        <v>29</v>
      </c>
      <c r="F4" s="34"/>
    </row>
    <row r="5">
      <c r="A5" s="30" t="s">
        <v>30</v>
      </c>
      <c r="C5" s="31">
        <v>46081.0</v>
      </c>
      <c r="D5" s="36">
        <f t="shared" si="1"/>
        <v>19</v>
      </c>
      <c r="E5" s="33" t="s">
        <v>31</v>
      </c>
      <c r="F5" s="34"/>
    </row>
    <row r="6">
      <c r="A6" s="30" t="s">
        <v>32</v>
      </c>
      <c r="C6" s="31">
        <v>46088.0</v>
      </c>
      <c r="D6" s="37">
        <f t="shared" si="1"/>
        <v>26</v>
      </c>
      <c r="E6" s="38" t="s">
        <v>31</v>
      </c>
      <c r="F6" s="34"/>
    </row>
    <row r="7">
      <c r="A7" s="30" t="s">
        <v>33</v>
      </c>
      <c r="C7" s="31">
        <v>46095.0</v>
      </c>
      <c r="D7" s="39">
        <f t="shared" si="1"/>
        <v>33</v>
      </c>
      <c r="E7" s="38" t="s">
        <v>31</v>
      </c>
      <c r="F7" s="34"/>
    </row>
    <row r="8">
      <c r="A8" s="30" t="s">
        <v>34</v>
      </c>
      <c r="C8" s="31">
        <v>46102.0</v>
      </c>
      <c r="D8" s="40">
        <f t="shared" si="1"/>
        <v>40</v>
      </c>
      <c r="E8" s="38" t="s">
        <v>31</v>
      </c>
      <c r="F8" s="34"/>
    </row>
    <row r="9">
      <c r="A9" s="34"/>
      <c r="B9" s="34"/>
      <c r="C9" s="34"/>
      <c r="D9" s="34"/>
      <c r="E9" s="34"/>
      <c r="F9" s="34"/>
      <c r="G9" s="34"/>
    </row>
    <row r="10">
      <c r="A10" s="25" t="s">
        <v>35</v>
      </c>
    </row>
    <row r="11">
      <c r="A11" s="41" t="s">
        <v>36</v>
      </c>
      <c r="C11" s="42" t="s">
        <v>37</v>
      </c>
      <c r="D11" s="42" t="s">
        <v>38</v>
      </c>
      <c r="E11" s="42" t="s">
        <v>39</v>
      </c>
    </row>
    <row r="12">
      <c r="A12" s="30" t="s">
        <v>40</v>
      </c>
      <c r="C12" s="31">
        <v>46056.0</v>
      </c>
      <c r="D12" s="43" t="s">
        <v>41</v>
      </c>
      <c r="E12" s="34"/>
    </row>
    <row r="13">
      <c r="A13" s="30" t="s">
        <v>42</v>
      </c>
      <c r="C13" s="31">
        <v>46058.0</v>
      </c>
      <c r="D13" s="44" t="s">
        <v>43</v>
      </c>
      <c r="E13" s="34"/>
    </row>
    <row r="14">
      <c r="A14" s="34"/>
      <c r="B14" s="34"/>
      <c r="C14" s="34"/>
      <c r="D14" s="34"/>
      <c r="E14" s="34"/>
      <c r="F14" s="34"/>
      <c r="G14" s="34"/>
    </row>
    <row r="15">
      <c r="A15" s="25" t="s">
        <v>44</v>
      </c>
    </row>
    <row r="16">
      <c r="A16" s="26" t="s">
        <v>45</v>
      </c>
      <c r="B16" s="27"/>
      <c r="C16" s="28" t="s">
        <v>38</v>
      </c>
      <c r="D16" s="28" t="s">
        <v>24</v>
      </c>
      <c r="E16" s="29" t="s">
        <v>46</v>
      </c>
      <c r="F16" s="45"/>
      <c r="G16" s="27"/>
    </row>
    <row r="17">
      <c r="A17" s="46" t="s">
        <v>47</v>
      </c>
      <c r="C17" s="47" t="s">
        <v>48</v>
      </c>
      <c r="D17" s="38" t="s">
        <v>49</v>
      </c>
      <c r="E17" s="30" t="s">
        <v>50</v>
      </c>
    </row>
    <row r="18">
      <c r="A18" s="46" t="s">
        <v>51</v>
      </c>
      <c r="C18" s="48" t="s">
        <v>48</v>
      </c>
      <c r="D18" s="38" t="s">
        <v>49</v>
      </c>
      <c r="E18" s="30" t="s">
        <v>52</v>
      </c>
    </row>
    <row r="19">
      <c r="A19" s="46" t="s">
        <v>53</v>
      </c>
      <c r="C19" s="48" t="s">
        <v>48</v>
      </c>
      <c r="D19" s="38" t="s">
        <v>49</v>
      </c>
      <c r="E19" s="34"/>
    </row>
    <row r="20">
      <c r="A20" s="46" t="s">
        <v>54</v>
      </c>
      <c r="C20" s="47" t="s">
        <v>55</v>
      </c>
      <c r="D20" s="38" t="s">
        <v>49</v>
      </c>
      <c r="E20" s="34"/>
    </row>
    <row r="21">
      <c r="A21" s="46" t="s">
        <v>54</v>
      </c>
      <c r="C21" s="47" t="s">
        <v>55</v>
      </c>
      <c r="D21" s="38" t="s">
        <v>49</v>
      </c>
      <c r="E21" s="34"/>
    </row>
    <row r="22">
      <c r="A22" s="34"/>
      <c r="B22" s="34"/>
      <c r="C22" s="34"/>
      <c r="D22" s="34"/>
      <c r="E22" s="34"/>
      <c r="F22" s="34"/>
      <c r="G22" s="34"/>
    </row>
    <row r="23">
      <c r="A23" s="34"/>
      <c r="B23" s="34"/>
      <c r="C23" s="34"/>
      <c r="D23" s="34"/>
      <c r="E23" s="34"/>
      <c r="F23" s="34"/>
      <c r="G23" s="34"/>
    </row>
    <row r="24">
      <c r="A24" s="34"/>
      <c r="B24" s="34"/>
      <c r="C24" s="34"/>
      <c r="D24" s="34"/>
      <c r="E24" s="34"/>
      <c r="F24" s="34"/>
      <c r="G24" s="34"/>
    </row>
    <row r="25">
      <c r="A25" s="34"/>
      <c r="B25" s="34"/>
      <c r="C25" s="34"/>
      <c r="D25" s="34"/>
      <c r="E25" s="34"/>
      <c r="F25" s="34"/>
      <c r="G25" s="34"/>
    </row>
  </sheetData>
  <mergeCells count="35">
    <mergeCell ref="F4:G4"/>
    <mergeCell ref="F5:G5"/>
    <mergeCell ref="A1:G1"/>
    <mergeCell ref="A2:B2"/>
    <mergeCell ref="F2:G2"/>
    <mergeCell ref="A3:B3"/>
    <mergeCell ref="F3:G3"/>
    <mergeCell ref="A4:B4"/>
    <mergeCell ref="A5:B5"/>
    <mergeCell ref="A6:B6"/>
    <mergeCell ref="F6:G6"/>
    <mergeCell ref="A7:B7"/>
    <mergeCell ref="F7:G7"/>
    <mergeCell ref="A8:B8"/>
    <mergeCell ref="F8:G8"/>
    <mergeCell ref="A10:G10"/>
    <mergeCell ref="A11:B11"/>
    <mergeCell ref="E11:G11"/>
    <mergeCell ref="A12:B12"/>
    <mergeCell ref="E12:G12"/>
    <mergeCell ref="A13:B13"/>
    <mergeCell ref="E13:G13"/>
    <mergeCell ref="A15:G15"/>
    <mergeCell ref="A19:B19"/>
    <mergeCell ref="A20:B20"/>
    <mergeCell ref="A21:B21"/>
    <mergeCell ref="E20:G20"/>
    <mergeCell ref="E21:G21"/>
    <mergeCell ref="A16:B16"/>
    <mergeCell ref="E16:G16"/>
    <mergeCell ref="A17:B17"/>
    <mergeCell ref="E17:G17"/>
    <mergeCell ref="A18:B18"/>
    <mergeCell ref="E18:G18"/>
    <mergeCell ref="E19:G19"/>
  </mergeCells>
  <dataValidations>
    <dataValidation type="list" allowBlank="1" showErrorMessage="1" sqref="E3:E8">
      <formula1>"Not Started,Doing,Done"</formula1>
    </dataValidation>
    <dataValidation type="list" allowBlank="1" showErrorMessage="1" sqref="D17:D21">
      <formula1>"Working,Archived"</formula1>
    </dataValidation>
  </dataValidations>
  <hyperlinks>
    <hyperlink r:id="rId1" ref="D12"/>
    <hyperlink r:id="rId2" ref="D13"/>
    <hyperlink r:id="rId3" ref="C17"/>
    <hyperlink r:id="rId4" ref="C18"/>
    <hyperlink r:id="rId5" ref="C19"/>
    <hyperlink r:id="rId6" location="gid=0" ref="C20"/>
    <hyperlink r:id="rId7" location="gid=0" ref="C21"/>
  </hyperlinks>
  <drawing r:id="rId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A0034"/>
    <outlinePr summaryBelow="0" summaryRight="0"/>
  </sheetPr>
  <sheetViews>
    <sheetView workbookViewId="0"/>
  </sheetViews>
  <sheetFormatPr customHeight="1" defaultColWidth="11.22" defaultRowHeight="15.0"/>
  <cols>
    <col customWidth="1" min="1" max="1" width="6.22"/>
    <col customWidth="1" min="2" max="2" width="23.89"/>
    <col customWidth="1" min="4" max="4" width="22.22"/>
    <col customWidth="1" min="5" max="5" width="26.11"/>
    <col customWidth="1" min="7" max="7" width="30.67"/>
    <col customWidth="1" min="8" max="8" width="23.78"/>
    <col customWidth="1" hidden="1" min="9" max="10" width="17.56"/>
    <col hidden="1" min="11" max="11" width="11.22"/>
    <col customWidth="1" min="12" max="12" width="17.22"/>
    <col customWidth="1" min="13" max="13" width="15.0"/>
    <col customWidth="1" min="15" max="15" width="23.56"/>
    <col customWidth="1" min="16" max="16" width="24.11"/>
    <col customWidth="1" min="17" max="17" width="11.22"/>
  </cols>
  <sheetData>
    <row r="1">
      <c r="A1" s="49" t="s">
        <v>56</v>
      </c>
      <c r="B1" s="50" t="s">
        <v>57</v>
      </c>
      <c r="C1" s="50" t="s">
        <v>58</v>
      </c>
      <c r="D1" s="50" t="s">
        <v>59</v>
      </c>
      <c r="E1" s="50" t="s">
        <v>60</v>
      </c>
      <c r="F1" s="50" t="s">
        <v>61</v>
      </c>
      <c r="G1" s="50" t="s">
        <v>62</v>
      </c>
      <c r="H1" s="50" t="s">
        <v>63</v>
      </c>
      <c r="I1" s="50" t="s">
        <v>64</v>
      </c>
      <c r="J1" s="50" t="s">
        <v>65</v>
      </c>
      <c r="K1" s="50" t="s">
        <v>66</v>
      </c>
      <c r="L1" s="51" t="s">
        <v>67</v>
      </c>
      <c r="M1" s="50" t="s">
        <v>24</v>
      </c>
      <c r="N1" s="52"/>
      <c r="O1" s="53" t="s">
        <v>68</v>
      </c>
      <c r="P1" s="54" t="s">
        <v>69</v>
      </c>
      <c r="Q1" s="55"/>
    </row>
    <row r="2">
      <c r="A2" s="56">
        <v>1.0</v>
      </c>
      <c r="B2" s="57" t="s">
        <v>70</v>
      </c>
      <c r="C2" s="58">
        <v>1.0</v>
      </c>
      <c r="D2" s="59" t="s">
        <v>71</v>
      </c>
      <c r="E2" s="59" t="s">
        <v>72</v>
      </c>
      <c r="F2" s="58" t="s">
        <v>73</v>
      </c>
      <c r="G2" s="59" t="s">
        <v>74</v>
      </c>
      <c r="H2" s="59" t="s">
        <v>75</v>
      </c>
      <c r="I2" s="60"/>
      <c r="J2" s="61" t="s">
        <v>76</v>
      </c>
      <c r="K2" s="62" t="s">
        <v>77</v>
      </c>
      <c r="L2" s="63" t="s">
        <v>78</v>
      </c>
      <c r="M2" s="64" t="s">
        <v>79</v>
      </c>
      <c r="N2" s="52"/>
      <c r="O2" s="65"/>
      <c r="Q2" s="55"/>
    </row>
    <row r="3">
      <c r="A3" s="56">
        <v>2.0</v>
      </c>
      <c r="B3" s="66" t="s">
        <v>80</v>
      </c>
      <c r="C3" s="58">
        <v>2.0</v>
      </c>
      <c r="D3" s="59" t="s">
        <v>28</v>
      </c>
      <c r="E3" s="59" t="s">
        <v>81</v>
      </c>
      <c r="F3" s="58" t="s">
        <v>82</v>
      </c>
      <c r="G3" s="59" t="s">
        <v>83</v>
      </c>
      <c r="H3" s="59" t="s">
        <v>84</v>
      </c>
      <c r="I3" s="60"/>
      <c r="J3" s="67"/>
      <c r="K3" s="62" t="s">
        <v>85</v>
      </c>
      <c r="L3" s="63" t="s">
        <v>78</v>
      </c>
      <c r="M3" s="64" t="s">
        <v>86</v>
      </c>
      <c r="O3" s="68" t="s">
        <v>87</v>
      </c>
      <c r="P3" s="69" t="s">
        <v>88</v>
      </c>
    </row>
    <row r="4">
      <c r="A4" s="56">
        <v>3.0</v>
      </c>
      <c r="B4" s="66" t="s">
        <v>80</v>
      </c>
      <c r="E4" s="59" t="s">
        <v>89</v>
      </c>
      <c r="F4" s="58" t="s">
        <v>90</v>
      </c>
      <c r="G4" s="59" t="s">
        <v>91</v>
      </c>
      <c r="H4" s="59" t="s">
        <v>92</v>
      </c>
      <c r="I4" s="60"/>
      <c r="J4" s="67"/>
      <c r="K4" s="62" t="s">
        <v>77</v>
      </c>
      <c r="L4" s="63" t="s">
        <v>78</v>
      </c>
      <c r="M4" s="64" t="s">
        <v>86</v>
      </c>
      <c r="O4" s="68" t="s">
        <v>93</v>
      </c>
      <c r="P4" s="69" t="s">
        <v>94</v>
      </c>
    </row>
    <row r="5">
      <c r="A5" s="56">
        <v>4.0</v>
      </c>
      <c r="B5" s="66" t="s">
        <v>80</v>
      </c>
      <c r="E5" s="59" t="s">
        <v>95</v>
      </c>
      <c r="F5" s="58" t="s">
        <v>96</v>
      </c>
      <c r="G5" s="59" t="s">
        <v>97</v>
      </c>
      <c r="H5" s="59" t="s">
        <v>98</v>
      </c>
      <c r="I5" s="60"/>
      <c r="J5" s="67"/>
      <c r="K5" s="62" t="s">
        <v>85</v>
      </c>
      <c r="L5" s="63" t="s">
        <v>78</v>
      </c>
      <c r="M5" s="64" t="s">
        <v>86</v>
      </c>
      <c r="O5" s="68" t="s">
        <v>99</v>
      </c>
      <c r="P5" s="69" t="s">
        <v>100</v>
      </c>
    </row>
    <row r="6">
      <c r="A6" s="56">
        <v>5.0</v>
      </c>
      <c r="B6" s="66" t="s">
        <v>80</v>
      </c>
      <c r="E6" s="59" t="s">
        <v>101</v>
      </c>
      <c r="F6" s="58" t="s">
        <v>102</v>
      </c>
      <c r="G6" s="59" t="s">
        <v>103</v>
      </c>
      <c r="H6" s="59" t="s">
        <v>104</v>
      </c>
      <c r="I6" s="60"/>
      <c r="J6" s="67"/>
      <c r="K6" s="62" t="s">
        <v>85</v>
      </c>
      <c r="L6" s="63" t="s">
        <v>78</v>
      </c>
      <c r="M6" s="64" t="s">
        <v>86</v>
      </c>
      <c r="O6" s="68" t="s">
        <v>105</v>
      </c>
      <c r="P6" s="69" t="s">
        <v>106</v>
      </c>
    </row>
    <row r="7">
      <c r="A7" s="56">
        <v>6.0</v>
      </c>
      <c r="B7" s="66" t="s">
        <v>80</v>
      </c>
      <c r="E7" s="59" t="s">
        <v>107</v>
      </c>
      <c r="F7" s="58" t="s">
        <v>108</v>
      </c>
      <c r="G7" s="59" t="s">
        <v>109</v>
      </c>
      <c r="H7" s="59" t="s">
        <v>110</v>
      </c>
      <c r="I7" s="60"/>
      <c r="J7" s="67"/>
      <c r="K7" s="62" t="s">
        <v>111</v>
      </c>
      <c r="L7" s="63" t="s">
        <v>78</v>
      </c>
      <c r="M7" s="64" t="s">
        <v>112</v>
      </c>
      <c r="O7" s="68" t="s">
        <v>113</v>
      </c>
      <c r="P7" s="69" t="s">
        <v>114</v>
      </c>
    </row>
    <row r="8">
      <c r="A8" s="56">
        <v>7.0</v>
      </c>
      <c r="B8" s="66" t="s">
        <v>80</v>
      </c>
      <c r="E8" s="59" t="s">
        <v>115</v>
      </c>
      <c r="F8" s="58" t="s">
        <v>73</v>
      </c>
      <c r="G8" s="59" t="s">
        <v>116</v>
      </c>
      <c r="H8" s="59" t="s">
        <v>117</v>
      </c>
      <c r="I8" s="60"/>
      <c r="J8" s="67"/>
      <c r="K8" s="60"/>
      <c r="L8" s="63" t="s">
        <v>78</v>
      </c>
      <c r="M8" s="62" t="s">
        <v>118</v>
      </c>
      <c r="O8" s="65"/>
    </row>
    <row r="9">
      <c r="A9" s="56">
        <v>8.0</v>
      </c>
      <c r="B9" s="66" t="s">
        <v>119</v>
      </c>
      <c r="C9" s="58">
        <v>3.0</v>
      </c>
      <c r="D9" s="59" t="s">
        <v>30</v>
      </c>
      <c r="E9" s="59" t="s">
        <v>120</v>
      </c>
      <c r="F9" s="58" t="s">
        <v>121</v>
      </c>
      <c r="G9" s="59" t="s">
        <v>122</v>
      </c>
      <c r="H9" s="59" t="s">
        <v>123</v>
      </c>
      <c r="I9" s="60"/>
      <c r="J9" s="67"/>
      <c r="K9" s="62" t="s">
        <v>77</v>
      </c>
      <c r="L9" s="63" t="s">
        <v>78</v>
      </c>
      <c r="M9" s="62" t="s">
        <v>118</v>
      </c>
      <c r="O9" s="68" t="s">
        <v>124</v>
      </c>
      <c r="P9" s="69" t="s">
        <v>125</v>
      </c>
    </row>
    <row r="10">
      <c r="A10" s="56">
        <v>9.0</v>
      </c>
      <c r="B10" s="66" t="s">
        <v>119</v>
      </c>
      <c r="E10" s="59" t="s">
        <v>126</v>
      </c>
      <c r="F10" s="58" t="s">
        <v>127</v>
      </c>
      <c r="G10" s="59" t="s">
        <v>128</v>
      </c>
      <c r="H10" s="59" t="s">
        <v>129</v>
      </c>
      <c r="I10" s="60"/>
      <c r="J10" s="67"/>
      <c r="K10" s="62" t="s">
        <v>77</v>
      </c>
      <c r="L10" s="63" t="s">
        <v>78</v>
      </c>
      <c r="M10" s="62" t="s">
        <v>118</v>
      </c>
      <c r="O10" s="68" t="s">
        <v>130</v>
      </c>
      <c r="P10" s="69" t="s">
        <v>131</v>
      </c>
    </row>
    <row r="11">
      <c r="A11" s="56">
        <v>10.0</v>
      </c>
      <c r="B11" s="66" t="s">
        <v>119</v>
      </c>
      <c r="E11" s="59" t="s">
        <v>132</v>
      </c>
      <c r="F11" s="58" t="s">
        <v>133</v>
      </c>
      <c r="G11" s="59" t="s">
        <v>134</v>
      </c>
      <c r="H11" s="59" t="s">
        <v>135</v>
      </c>
      <c r="I11" s="60"/>
      <c r="J11" s="67"/>
      <c r="K11" s="62" t="s">
        <v>85</v>
      </c>
      <c r="L11" s="63" t="s">
        <v>78</v>
      </c>
      <c r="M11" s="62" t="s">
        <v>118</v>
      </c>
      <c r="O11" s="68" t="s">
        <v>136</v>
      </c>
      <c r="P11" s="69" t="s">
        <v>137</v>
      </c>
    </row>
    <row r="12">
      <c r="A12" s="56">
        <v>11.0</v>
      </c>
      <c r="B12" s="66" t="s">
        <v>119</v>
      </c>
      <c r="E12" s="59" t="s">
        <v>138</v>
      </c>
      <c r="F12" s="58" t="s">
        <v>139</v>
      </c>
      <c r="G12" s="59" t="s">
        <v>140</v>
      </c>
      <c r="H12" s="59" t="s">
        <v>141</v>
      </c>
      <c r="I12" s="60"/>
      <c r="J12" s="67"/>
      <c r="K12" s="62" t="s">
        <v>77</v>
      </c>
      <c r="L12" s="63" t="s">
        <v>78</v>
      </c>
      <c r="M12" s="62" t="s">
        <v>118</v>
      </c>
      <c r="O12" s="68" t="s">
        <v>142</v>
      </c>
      <c r="P12" s="69" t="s">
        <v>143</v>
      </c>
    </row>
    <row r="13">
      <c r="A13" s="56">
        <v>12.0</v>
      </c>
      <c r="B13" s="66" t="s">
        <v>119</v>
      </c>
      <c r="E13" s="59" t="s">
        <v>144</v>
      </c>
      <c r="F13" s="58" t="s">
        <v>145</v>
      </c>
      <c r="G13" s="59" t="s">
        <v>146</v>
      </c>
      <c r="H13" s="59" t="s">
        <v>147</v>
      </c>
      <c r="I13" s="60"/>
      <c r="J13" s="67"/>
      <c r="K13" s="62" t="s">
        <v>85</v>
      </c>
      <c r="L13" s="63" t="s">
        <v>78</v>
      </c>
      <c r="M13" s="62" t="s">
        <v>118</v>
      </c>
      <c r="O13" s="68" t="s">
        <v>148</v>
      </c>
      <c r="P13" s="69" t="s">
        <v>149</v>
      </c>
    </row>
    <row r="14">
      <c r="A14" s="56">
        <v>13.0</v>
      </c>
      <c r="B14" s="66" t="s">
        <v>119</v>
      </c>
      <c r="E14" s="59" t="s">
        <v>150</v>
      </c>
      <c r="F14" s="58" t="s">
        <v>151</v>
      </c>
      <c r="G14" s="59" t="s">
        <v>152</v>
      </c>
      <c r="H14" s="59" t="s">
        <v>153</v>
      </c>
      <c r="I14" s="60"/>
      <c r="J14" s="67"/>
      <c r="K14" s="62" t="s">
        <v>111</v>
      </c>
      <c r="L14" s="63" t="s">
        <v>78</v>
      </c>
      <c r="M14" s="62" t="s">
        <v>118</v>
      </c>
      <c r="O14" s="68" t="s">
        <v>154</v>
      </c>
      <c r="P14" s="69" t="s">
        <v>155</v>
      </c>
    </row>
    <row r="15">
      <c r="A15" s="56">
        <v>14.0</v>
      </c>
      <c r="B15" s="66" t="s">
        <v>119</v>
      </c>
      <c r="E15" s="59" t="s">
        <v>156</v>
      </c>
      <c r="F15" s="58" t="s">
        <v>73</v>
      </c>
      <c r="G15" s="59" t="s">
        <v>157</v>
      </c>
      <c r="H15" s="59" t="s">
        <v>158</v>
      </c>
      <c r="I15" s="60"/>
      <c r="J15" s="67"/>
      <c r="K15" s="60"/>
      <c r="L15" s="63" t="s">
        <v>78</v>
      </c>
      <c r="M15" s="62" t="s">
        <v>118</v>
      </c>
      <c r="O15" s="65"/>
    </row>
    <row r="16">
      <c r="A16" s="56">
        <v>15.0</v>
      </c>
      <c r="B16" s="66" t="s">
        <v>159</v>
      </c>
      <c r="C16" s="58">
        <v>4.0</v>
      </c>
      <c r="D16" s="59" t="s">
        <v>32</v>
      </c>
      <c r="E16" s="59" t="s">
        <v>160</v>
      </c>
      <c r="F16" s="58" t="s">
        <v>161</v>
      </c>
      <c r="G16" s="59" t="s">
        <v>162</v>
      </c>
      <c r="H16" s="59" t="s">
        <v>163</v>
      </c>
      <c r="I16" s="60"/>
      <c r="J16" s="67"/>
      <c r="K16" s="62" t="s">
        <v>77</v>
      </c>
      <c r="L16" s="63" t="s">
        <v>78</v>
      </c>
      <c r="M16" s="62" t="s">
        <v>118</v>
      </c>
      <c r="O16" s="68" t="s">
        <v>164</v>
      </c>
      <c r="P16" s="69" t="s">
        <v>165</v>
      </c>
    </row>
    <row r="17">
      <c r="A17" s="56">
        <v>16.0</v>
      </c>
      <c r="B17" s="66" t="s">
        <v>159</v>
      </c>
      <c r="E17" s="59" t="s">
        <v>166</v>
      </c>
      <c r="F17" s="58" t="s">
        <v>167</v>
      </c>
      <c r="G17" s="59" t="s">
        <v>168</v>
      </c>
      <c r="H17" s="59" t="s">
        <v>169</v>
      </c>
      <c r="I17" s="60"/>
      <c r="J17" s="67"/>
      <c r="K17" s="62" t="s">
        <v>85</v>
      </c>
      <c r="L17" s="63" t="s">
        <v>78</v>
      </c>
      <c r="M17" s="62" t="s">
        <v>118</v>
      </c>
      <c r="O17" s="68" t="s">
        <v>170</v>
      </c>
      <c r="P17" s="69" t="s">
        <v>171</v>
      </c>
    </row>
    <row r="18">
      <c r="A18" s="56">
        <v>17.0</v>
      </c>
      <c r="B18" s="66" t="s">
        <v>159</v>
      </c>
      <c r="E18" s="59" t="s">
        <v>172</v>
      </c>
      <c r="F18" s="58" t="s">
        <v>173</v>
      </c>
      <c r="G18" s="59" t="s">
        <v>174</v>
      </c>
      <c r="H18" s="59" t="s">
        <v>175</v>
      </c>
      <c r="I18" s="60"/>
      <c r="J18" s="67"/>
      <c r="K18" s="62" t="s">
        <v>85</v>
      </c>
      <c r="L18" s="63" t="s">
        <v>78</v>
      </c>
      <c r="M18" s="62" t="s">
        <v>118</v>
      </c>
      <c r="O18" s="68" t="s">
        <v>176</v>
      </c>
      <c r="P18" s="69" t="s">
        <v>177</v>
      </c>
    </row>
    <row r="19">
      <c r="A19" s="56">
        <v>18.0</v>
      </c>
      <c r="B19" s="66" t="s">
        <v>159</v>
      </c>
      <c r="E19" s="59" t="s">
        <v>178</v>
      </c>
      <c r="F19" s="58" t="s">
        <v>73</v>
      </c>
      <c r="G19" s="59" t="s">
        <v>179</v>
      </c>
      <c r="H19" s="59" t="s">
        <v>180</v>
      </c>
      <c r="I19" s="60"/>
      <c r="J19" s="67"/>
      <c r="K19" s="60"/>
      <c r="L19" s="63" t="s">
        <v>78</v>
      </c>
      <c r="M19" s="62" t="s">
        <v>118</v>
      </c>
      <c r="O19" s="65"/>
    </row>
    <row r="20">
      <c r="A20" s="56"/>
      <c r="B20" s="66" t="s">
        <v>181</v>
      </c>
      <c r="C20" s="58">
        <v>5.0</v>
      </c>
      <c r="D20" s="59" t="s">
        <v>33</v>
      </c>
      <c r="E20" s="59" t="s">
        <v>182</v>
      </c>
      <c r="F20" s="58" t="s">
        <v>183</v>
      </c>
      <c r="G20" s="59" t="s">
        <v>184</v>
      </c>
      <c r="H20" s="59" t="s">
        <v>185</v>
      </c>
      <c r="I20" s="60"/>
      <c r="J20" s="67"/>
      <c r="K20" s="62" t="s">
        <v>111</v>
      </c>
      <c r="L20" s="63" t="s">
        <v>78</v>
      </c>
      <c r="M20" s="62" t="s">
        <v>118</v>
      </c>
      <c r="O20" s="68" t="s">
        <v>186</v>
      </c>
      <c r="P20" s="69" t="s">
        <v>187</v>
      </c>
    </row>
    <row r="21">
      <c r="A21" s="56">
        <v>19.0</v>
      </c>
      <c r="B21" s="66" t="s">
        <v>181</v>
      </c>
      <c r="E21" s="59" t="s">
        <v>188</v>
      </c>
      <c r="F21" s="58" t="s">
        <v>189</v>
      </c>
      <c r="G21" s="59" t="s">
        <v>190</v>
      </c>
      <c r="H21" s="59" t="s">
        <v>191</v>
      </c>
      <c r="I21" s="60"/>
      <c r="J21" s="67"/>
      <c r="K21" s="62" t="s">
        <v>111</v>
      </c>
      <c r="L21" s="63" t="s">
        <v>78</v>
      </c>
      <c r="M21" s="62" t="s">
        <v>118</v>
      </c>
      <c r="O21" s="70" t="s">
        <v>192</v>
      </c>
      <c r="P21" s="70" t="s">
        <v>193</v>
      </c>
    </row>
    <row r="22">
      <c r="A22" s="56">
        <v>21.0</v>
      </c>
      <c r="B22" s="66" t="s">
        <v>181</v>
      </c>
      <c r="E22" s="59" t="s">
        <v>194</v>
      </c>
      <c r="F22" s="58" t="s">
        <v>73</v>
      </c>
      <c r="G22" s="59" t="s">
        <v>195</v>
      </c>
      <c r="H22" s="59" t="s">
        <v>196</v>
      </c>
      <c r="I22" s="60"/>
      <c r="J22" s="67"/>
      <c r="K22" s="60"/>
      <c r="L22" s="63" t="s">
        <v>78</v>
      </c>
      <c r="M22" s="62" t="s">
        <v>118</v>
      </c>
      <c r="O22" s="65"/>
    </row>
    <row r="23">
      <c r="A23" s="56">
        <v>22.0</v>
      </c>
      <c r="B23" s="66" t="s">
        <v>197</v>
      </c>
      <c r="C23" s="58">
        <v>6.0</v>
      </c>
      <c r="D23" s="59" t="s">
        <v>34</v>
      </c>
      <c r="E23" s="59" t="s">
        <v>198</v>
      </c>
      <c r="F23" s="58" t="s">
        <v>199</v>
      </c>
      <c r="G23" s="59" t="s">
        <v>200</v>
      </c>
      <c r="H23" s="59" t="s">
        <v>201</v>
      </c>
      <c r="I23" s="60"/>
      <c r="J23" s="67"/>
      <c r="K23" s="62" t="s">
        <v>77</v>
      </c>
      <c r="L23" s="63" t="s">
        <v>78</v>
      </c>
      <c r="M23" s="62" t="s">
        <v>118</v>
      </c>
      <c r="O23" s="68" t="s">
        <v>202</v>
      </c>
      <c r="P23" s="69" t="s">
        <v>203</v>
      </c>
    </row>
    <row r="24">
      <c r="A24" s="56">
        <v>23.0</v>
      </c>
      <c r="B24" s="66" t="s">
        <v>197</v>
      </c>
      <c r="E24" s="59" t="s">
        <v>204</v>
      </c>
      <c r="F24" s="58" t="s">
        <v>205</v>
      </c>
      <c r="G24" s="59" t="s">
        <v>206</v>
      </c>
      <c r="H24" s="59" t="s">
        <v>207</v>
      </c>
      <c r="I24" s="60"/>
      <c r="J24" s="67"/>
      <c r="K24" s="62" t="s">
        <v>77</v>
      </c>
      <c r="L24" s="63" t="s">
        <v>78</v>
      </c>
      <c r="M24" s="62" t="s">
        <v>118</v>
      </c>
      <c r="O24" s="68" t="s">
        <v>208</v>
      </c>
      <c r="P24" s="69" t="s">
        <v>209</v>
      </c>
    </row>
    <row r="25">
      <c r="A25" s="56">
        <v>24.0</v>
      </c>
      <c r="B25" s="66" t="s">
        <v>197</v>
      </c>
      <c r="E25" s="59" t="s">
        <v>210</v>
      </c>
      <c r="F25" s="58" t="s">
        <v>211</v>
      </c>
      <c r="G25" s="59" t="s">
        <v>212</v>
      </c>
      <c r="H25" s="59" t="s">
        <v>213</v>
      </c>
      <c r="I25" s="60"/>
      <c r="J25" s="67"/>
      <c r="K25" s="62" t="s">
        <v>85</v>
      </c>
      <c r="L25" s="63" t="s">
        <v>78</v>
      </c>
      <c r="M25" s="62" t="s">
        <v>118</v>
      </c>
      <c r="O25" s="68" t="s">
        <v>214</v>
      </c>
      <c r="P25" s="69" t="s">
        <v>215</v>
      </c>
    </row>
    <row r="26">
      <c r="A26" s="56">
        <v>25.0</v>
      </c>
      <c r="B26" s="66" t="s">
        <v>197</v>
      </c>
      <c r="E26" s="59" t="s">
        <v>216</v>
      </c>
      <c r="F26" s="58" t="s">
        <v>73</v>
      </c>
      <c r="G26" s="59" t="s">
        <v>217</v>
      </c>
      <c r="H26" s="59" t="s">
        <v>218</v>
      </c>
      <c r="I26" s="60"/>
      <c r="J26" s="67"/>
      <c r="K26" s="60"/>
      <c r="L26" s="63" t="s">
        <v>78</v>
      </c>
      <c r="M26" s="62" t="s">
        <v>118</v>
      </c>
      <c r="O26" s="65"/>
    </row>
    <row r="27">
      <c r="A27" s="56">
        <v>26.0</v>
      </c>
      <c r="B27" s="66" t="s">
        <v>219</v>
      </c>
      <c r="C27" s="58">
        <v>7.0</v>
      </c>
      <c r="D27" s="59" t="s">
        <v>220</v>
      </c>
      <c r="E27" s="59" t="s">
        <v>221</v>
      </c>
      <c r="F27" s="58" t="s">
        <v>222</v>
      </c>
      <c r="G27" s="59" t="s">
        <v>223</v>
      </c>
      <c r="H27" s="59" t="s">
        <v>224</v>
      </c>
      <c r="I27" s="60"/>
      <c r="J27" s="67"/>
      <c r="K27" s="60"/>
      <c r="L27" s="63" t="s">
        <v>78</v>
      </c>
      <c r="M27" s="62" t="s">
        <v>118</v>
      </c>
    </row>
    <row r="28">
      <c r="A28" s="56">
        <v>27.0</v>
      </c>
      <c r="B28" s="66" t="s">
        <v>219</v>
      </c>
      <c r="C28" s="58">
        <v>8.0</v>
      </c>
      <c r="D28" s="59" t="s">
        <v>225</v>
      </c>
      <c r="E28" s="59" t="s">
        <v>226</v>
      </c>
      <c r="F28" s="58" t="s">
        <v>222</v>
      </c>
      <c r="G28" s="59" t="s">
        <v>227</v>
      </c>
      <c r="H28" s="59" t="s">
        <v>228</v>
      </c>
      <c r="I28" s="60"/>
      <c r="J28" s="67"/>
      <c r="K28" s="60"/>
      <c r="L28" s="63" t="s">
        <v>78</v>
      </c>
      <c r="M28" s="62" t="s">
        <v>118</v>
      </c>
    </row>
    <row r="29">
      <c r="A29" s="56">
        <v>28.0</v>
      </c>
      <c r="B29" s="66" t="s">
        <v>219</v>
      </c>
      <c r="C29" s="58">
        <v>9.0</v>
      </c>
      <c r="D29" s="59" t="s">
        <v>229</v>
      </c>
      <c r="E29" s="59" t="s">
        <v>230</v>
      </c>
      <c r="F29" s="58" t="s">
        <v>222</v>
      </c>
      <c r="G29" s="59" t="s">
        <v>231</v>
      </c>
      <c r="H29" s="59" t="s">
        <v>232</v>
      </c>
      <c r="I29" s="60"/>
      <c r="J29" s="60"/>
      <c r="K29" s="60"/>
      <c r="L29" s="63" t="s">
        <v>78</v>
      </c>
      <c r="M29" s="62" t="s">
        <v>118</v>
      </c>
    </row>
    <row r="30">
      <c r="A30" s="71"/>
    </row>
  </sheetData>
  <mergeCells count="19">
    <mergeCell ref="O8:P8"/>
    <mergeCell ref="O15:P15"/>
    <mergeCell ref="O2:P2"/>
    <mergeCell ref="D3:D8"/>
    <mergeCell ref="D9:D15"/>
    <mergeCell ref="A30:Q30"/>
    <mergeCell ref="N2:N29"/>
    <mergeCell ref="Q2:Q29"/>
    <mergeCell ref="C20:C22"/>
    <mergeCell ref="O26:P29"/>
    <mergeCell ref="C9:C15"/>
    <mergeCell ref="C16:C19"/>
    <mergeCell ref="C23:C26"/>
    <mergeCell ref="D23:D26"/>
    <mergeCell ref="O19:P19"/>
    <mergeCell ref="O22:P22"/>
    <mergeCell ref="D16:D19"/>
    <mergeCell ref="C3:C8"/>
    <mergeCell ref="D20:D22"/>
  </mergeCells>
  <dataValidations>
    <dataValidation type="list" allowBlank="1" showErrorMessage="1" sqref="B2:B29">
      <formula1>"Sprint 1 | Feb 1-7,Sprint 2 | Feb 8 – Feb 14,Sprint 3 | Feb 15 – Feb 21,Sprint 4 | Feb 22 – Feb 28,Sprint 5 | Mar 1 – Mar 7,Sprint 6 | Mar 8 – Mar 14,Sprint 7 | Mar 15 – Mar 21"</formula1>
    </dataValidation>
    <dataValidation type="list" allowBlank="1" showErrorMessage="1" sqref="M2">
      <formula1>"NOT STARTED,IN PROGRESS,COMPLETED"</formula1>
    </dataValidation>
    <dataValidation type="list" allowBlank="1" showErrorMessage="1" sqref="M3:M29">
      <formula1>"Not started,In Progress,Completed"</formula1>
    </dataValidation>
    <dataValidation type="list" allowBlank="1" showErrorMessage="1" sqref="K2:K29">
      <formula1>"LOW,MEDIUM,HIGH"</formula1>
    </dataValidation>
    <dataValidation type="list" allowBlank="1" showErrorMessage="1" sqref="L2:L29">
      <formula1>"Frankie Pinat,Lyca Gutierrez"</formula1>
    </dataValidation>
  </dataValidations>
  <hyperlinks>
    <hyperlink r:id="rId1" ref="J2"/>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sheetPr>
  <sheetViews>
    <sheetView workbookViewId="0"/>
  </sheetViews>
  <sheetFormatPr customHeight="1" defaultColWidth="11.22" defaultRowHeight="15.0"/>
  <cols>
    <col customWidth="1" min="1" max="1" width="4.11"/>
    <col customWidth="1" min="2" max="2" width="14.22"/>
    <col customWidth="1" min="3" max="3" width="8.67"/>
    <col customWidth="1" min="4" max="4" width="20.78"/>
    <col customWidth="1" min="5" max="5" width="43.67"/>
    <col customWidth="1" min="6" max="6" width="3.67"/>
    <col customWidth="1" min="7" max="7" width="7.0"/>
    <col customWidth="1" min="8" max="9" width="28.78"/>
    <col customWidth="1" min="10" max="10" width="9.33"/>
    <col customWidth="1" min="11" max="11" width="3.78"/>
  </cols>
  <sheetData>
    <row r="1">
      <c r="A1" s="72"/>
      <c r="B1" s="73" t="s">
        <v>233</v>
      </c>
      <c r="C1" s="72" t="s">
        <v>234</v>
      </c>
      <c r="D1" s="72" t="s">
        <v>235</v>
      </c>
      <c r="E1" s="72" t="s">
        <v>236</v>
      </c>
      <c r="F1" s="74"/>
      <c r="G1" s="75" t="s">
        <v>237</v>
      </c>
      <c r="H1" s="72" t="s">
        <v>238</v>
      </c>
      <c r="I1" s="72" t="s">
        <v>239</v>
      </c>
      <c r="J1" s="75" t="s">
        <v>240</v>
      </c>
      <c r="K1" s="74"/>
    </row>
    <row r="2">
      <c r="A2" s="72"/>
      <c r="B2" s="76" t="s">
        <v>232</v>
      </c>
      <c r="C2" s="77" t="s">
        <v>241</v>
      </c>
      <c r="D2" s="77" t="s">
        <v>242</v>
      </c>
      <c r="E2" s="77" t="s">
        <v>243</v>
      </c>
      <c r="F2" s="74"/>
      <c r="G2" s="78" t="s">
        <v>244</v>
      </c>
      <c r="H2" s="79" t="s">
        <v>245</v>
      </c>
      <c r="I2" s="79" t="s">
        <v>246</v>
      </c>
      <c r="J2" s="80" t="s">
        <v>82</v>
      </c>
      <c r="K2" s="74"/>
    </row>
    <row r="3">
      <c r="A3" s="72"/>
      <c r="C3" s="77" t="s">
        <v>247</v>
      </c>
      <c r="D3" s="77" t="s">
        <v>242</v>
      </c>
      <c r="E3" s="77" t="s">
        <v>248</v>
      </c>
      <c r="F3" s="74"/>
      <c r="G3" s="78" t="s">
        <v>249</v>
      </c>
      <c r="H3" s="79" t="s">
        <v>250</v>
      </c>
      <c r="I3" s="79" t="s">
        <v>251</v>
      </c>
      <c r="J3" s="80" t="s">
        <v>82</v>
      </c>
      <c r="K3" s="74"/>
    </row>
    <row r="4">
      <c r="A4" s="72"/>
      <c r="C4" s="77" t="s">
        <v>252</v>
      </c>
      <c r="D4" s="77" t="s">
        <v>242</v>
      </c>
      <c r="E4" s="77" t="s">
        <v>253</v>
      </c>
      <c r="F4" s="74"/>
      <c r="G4" s="78" t="s">
        <v>254</v>
      </c>
      <c r="H4" s="79" t="s">
        <v>255</v>
      </c>
      <c r="I4" s="79" t="s">
        <v>256</v>
      </c>
      <c r="J4" s="80" t="s">
        <v>82</v>
      </c>
      <c r="K4" s="74"/>
    </row>
    <row r="5">
      <c r="A5" s="72"/>
      <c r="C5" s="77" t="s">
        <v>257</v>
      </c>
      <c r="D5" s="77" t="s">
        <v>242</v>
      </c>
      <c r="E5" s="77" t="s">
        <v>258</v>
      </c>
      <c r="F5" s="74"/>
      <c r="G5" s="78" t="s">
        <v>259</v>
      </c>
      <c r="H5" s="79" t="s">
        <v>260</v>
      </c>
      <c r="I5" s="79" t="s">
        <v>261</v>
      </c>
      <c r="J5" s="80" t="s">
        <v>82</v>
      </c>
      <c r="K5" s="74"/>
    </row>
    <row r="6">
      <c r="A6" s="72"/>
      <c r="C6" s="77" t="s">
        <v>262</v>
      </c>
      <c r="D6" s="77" t="s">
        <v>263</v>
      </c>
      <c r="E6" s="77" t="s">
        <v>264</v>
      </c>
      <c r="F6" s="74"/>
      <c r="G6" s="78" t="s">
        <v>265</v>
      </c>
      <c r="H6" s="79" t="s">
        <v>266</v>
      </c>
      <c r="I6" s="79" t="s">
        <v>267</v>
      </c>
      <c r="J6" s="80" t="s">
        <v>96</v>
      </c>
      <c r="K6" s="74"/>
    </row>
    <row r="7">
      <c r="A7" s="72"/>
      <c r="C7" s="77" t="s">
        <v>268</v>
      </c>
      <c r="D7" s="77" t="s">
        <v>263</v>
      </c>
      <c r="E7" s="77" t="s">
        <v>269</v>
      </c>
      <c r="F7" s="74"/>
      <c r="G7" s="78" t="s">
        <v>270</v>
      </c>
      <c r="H7" s="79" t="s">
        <v>271</v>
      </c>
      <c r="I7" s="79" t="s">
        <v>272</v>
      </c>
      <c r="J7" s="80" t="s">
        <v>96</v>
      </c>
      <c r="K7" s="74"/>
    </row>
    <row r="8">
      <c r="A8" s="72"/>
      <c r="C8" s="77" t="s">
        <v>273</v>
      </c>
      <c r="D8" s="77" t="s">
        <v>263</v>
      </c>
      <c r="E8" s="77" t="s">
        <v>274</v>
      </c>
      <c r="F8" s="74"/>
      <c r="G8" s="78" t="s">
        <v>275</v>
      </c>
      <c r="H8" s="79" t="s">
        <v>276</v>
      </c>
      <c r="I8" s="79" t="s">
        <v>277</v>
      </c>
      <c r="J8" s="80" t="s">
        <v>90</v>
      </c>
      <c r="K8" s="74"/>
    </row>
    <row r="9">
      <c r="A9" s="72"/>
      <c r="C9" s="77" t="s">
        <v>278</v>
      </c>
      <c r="D9" s="77" t="s">
        <v>263</v>
      </c>
      <c r="E9" s="77" t="s">
        <v>279</v>
      </c>
      <c r="F9" s="74"/>
      <c r="G9" s="78" t="s">
        <v>280</v>
      </c>
      <c r="H9" s="79" t="s">
        <v>281</v>
      </c>
      <c r="I9" s="79" t="s">
        <v>282</v>
      </c>
      <c r="J9" s="80" t="s">
        <v>96</v>
      </c>
      <c r="K9" s="74"/>
    </row>
    <row r="10">
      <c r="A10" s="72"/>
      <c r="C10" s="77" t="s">
        <v>283</v>
      </c>
      <c r="D10" s="77" t="s">
        <v>263</v>
      </c>
      <c r="E10" s="77" t="s">
        <v>284</v>
      </c>
      <c r="F10" s="74"/>
      <c r="G10" s="78" t="s">
        <v>285</v>
      </c>
      <c r="H10" s="79" t="s">
        <v>286</v>
      </c>
      <c r="I10" s="79" t="s">
        <v>287</v>
      </c>
      <c r="J10" s="80" t="s">
        <v>96</v>
      </c>
      <c r="K10" s="74"/>
    </row>
    <row r="11">
      <c r="A11" s="72"/>
      <c r="C11" s="77" t="s">
        <v>288</v>
      </c>
      <c r="D11" s="77" t="s">
        <v>289</v>
      </c>
      <c r="E11" s="77" t="s">
        <v>290</v>
      </c>
      <c r="F11" s="74"/>
      <c r="G11" s="78" t="s">
        <v>291</v>
      </c>
      <c r="H11" s="79" t="s">
        <v>292</v>
      </c>
      <c r="I11" s="79" t="s">
        <v>293</v>
      </c>
      <c r="J11" s="80" t="s">
        <v>90</v>
      </c>
      <c r="K11" s="74"/>
    </row>
    <row r="12">
      <c r="A12" s="72"/>
      <c r="C12" s="77" t="s">
        <v>294</v>
      </c>
      <c r="D12" s="77" t="s">
        <v>289</v>
      </c>
      <c r="E12" s="77" t="s">
        <v>295</v>
      </c>
      <c r="F12" s="74"/>
      <c r="G12" s="78" t="s">
        <v>296</v>
      </c>
      <c r="H12" s="79" t="s">
        <v>297</v>
      </c>
      <c r="I12" s="79" t="s">
        <v>298</v>
      </c>
      <c r="J12" s="80" t="s">
        <v>90</v>
      </c>
      <c r="K12" s="74"/>
    </row>
    <row r="13">
      <c r="A13" s="72"/>
      <c r="C13" s="77" t="s">
        <v>299</v>
      </c>
      <c r="D13" s="77" t="s">
        <v>289</v>
      </c>
      <c r="E13" s="77" t="s">
        <v>300</v>
      </c>
      <c r="F13" s="74"/>
      <c r="G13" s="78" t="s">
        <v>301</v>
      </c>
      <c r="H13" s="79" t="s">
        <v>302</v>
      </c>
      <c r="I13" s="79" t="s">
        <v>303</v>
      </c>
      <c r="J13" s="80" t="s">
        <v>90</v>
      </c>
      <c r="K13" s="74"/>
    </row>
    <row r="14">
      <c r="A14" s="72"/>
      <c r="C14" s="77" t="s">
        <v>304</v>
      </c>
      <c r="D14" s="77" t="s">
        <v>289</v>
      </c>
      <c r="E14" s="77" t="s">
        <v>305</v>
      </c>
      <c r="F14" s="74"/>
      <c r="G14" s="78" t="s">
        <v>306</v>
      </c>
      <c r="H14" s="79" t="s">
        <v>307</v>
      </c>
      <c r="I14" s="79" t="s">
        <v>308</v>
      </c>
      <c r="J14" s="80" t="s">
        <v>90</v>
      </c>
      <c r="K14" s="74"/>
    </row>
    <row r="15">
      <c r="A15" s="72"/>
      <c r="C15" s="77" t="s">
        <v>309</v>
      </c>
      <c r="D15" s="77" t="s">
        <v>289</v>
      </c>
      <c r="E15" s="77" t="s">
        <v>310</v>
      </c>
      <c r="F15" s="74"/>
      <c r="G15" s="78" t="s">
        <v>311</v>
      </c>
      <c r="H15" s="79" t="s">
        <v>312</v>
      </c>
      <c r="I15" s="79" t="s">
        <v>308</v>
      </c>
      <c r="J15" s="80" t="s">
        <v>102</v>
      </c>
      <c r="K15" s="74"/>
    </row>
    <row r="16">
      <c r="A16" s="72"/>
      <c r="C16" s="77" t="s">
        <v>313</v>
      </c>
      <c r="D16" s="77" t="s">
        <v>289</v>
      </c>
      <c r="E16" s="77" t="s">
        <v>314</v>
      </c>
      <c r="F16" s="74"/>
      <c r="G16" s="78" t="s">
        <v>315</v>
      </c>
      <c r="H16" s="79" t="s">
        <v>316</v>
      </c>
      <c r="I16" s="79" t="s">
        <v>317</v>
      </c>
      <c r="J16" s="80" t="s">
        <v>102</v>
      </c>
      <c r="K16" s="74"/>
    </row>
    <row r="17">
      <c r="A17" s="72"/>
      <c r="C17" s="77" t="s">
        <v>318</v>
      </c>
      <c r="D17" s="77" t="s">
        <v>289</v>
      </c>
      <c r="E17" s="77" t="s">
        <v>319</v>
      </c>
      <c r="F17" s="74"/>
      <c r="G17" s="78" t="s">
        <v>320</v>
      </c>
      <c r="H17" s="79" t="s">
        <v>321</v>
      </c>
      <c r="I17" s="79" t="s">
        <v>322</v>
      </c>
      <c r="J17" s="80" t="s">
        <v>102</v>
      </c>
      <c r="K17" s="74"/>
    </row>
    <row r="18">
      <c r="A18" s="72"/>
      <c r="C18" s="77" t="s">
        <v>323</v>
      </c>
      <c r="D18" s="77" t="s">
        <v>289</v>
      </c>
      <c r="E18" s="77" t="s">
        <v>324</v>
      </c>
      <c r="F18" s="74"/>
      <c r="G18" s="78" t="s">
        <v>325</v>
      </c>
      <c r="H18" s="79" t="s">
        <v>326</v>
      </c>
      <c r="I18" s="79" t="s">
        <v>327</v>
      </c>
      <c r="J18" s="80" t="s">
        <v>102</v>
      </c>
      <c r="K18" s="74"/>
    </row>
    <row r="19">
      <c r="A19" s="72"/>
      <c r="C19" s="77" t="s">
        <v>113</v>
      </c>
      <c r="D19" s="77" t="s">
        <v>328</v>
      </c>
      <c r="E19" s="77" t="s">
        <v>329</v>
      </c>
      <c r="F19" s="74"/>
      <c r="G19" s="78" t="s">
        <v>114</v>
      </c>
      <c r="H19" s="79" t="s">
        <v>330</v>
      </c>
      <c r="I19" s="79" t="s">
        <v>331</v>
      </c>
      <c r="J19" s="80" t="s">
        <v>108</v>
      </c>
      <c r="K19" s="74"/>
    </row>
    <row r="20">
      <c r="A20" s="72"/>
      <c r="B20" s="81" t="s">
        <v>332</v>
      </c>
      <c r="C20" s="82" t="s">
        <v>333</v>
      </c>
      <c r="D20" s="82" t="s">
        <v>242</v>
      </c>
      <c r="E20" s="82" t="s">
        <v>334</v>
      </c>
      <c r="F20" s="74"/>
      <c r="G20" s="83" t="s">
        <v>335</v>
      </c>
      <c r="H20" s="84" t="s">
        <v>336</v>
      </c>
      <c r="I20" s="84" t="s">
        <v>337</v>
      </c>
      <c r="J20" s="85" t="s">
        <v>121</v>
      </c>
      <c r="K20" s="74"/>
    </row>
    <row r="21">
      <c r="A21" s="72"/>
      <c r="C21" s="82" t="s">
        <v>338</v>
      </c>
      <c r="D21" s="82" t="s">
        <v>242</v>
      </c>
      <c r="E21" s="82" t="s">
        <v>339</v>
      </c>
      <c r="F21" s="74"/>
      <c r="G21" s="83" t="s">
        <v>340</v>
      </c>
      <c r="H21" s="84" t="s">
        <v>341</v>
      </c>
      <c r="I21" s="84" t="s">
        <v>342</v>
      </c>
      <c r="J21" s="85" t="s">
        <v>121</v>
      </c>
      <c r="K21" s="74"/>
    </row>
    <row r="22">
      <c r="A22" s="72"/>
      <c r="C22" s="82" t="s">
        <v>343</v>
      </c>
      <c r="D22" s="82" t="s">
        <v>242</v>
      </c>
      <c r="E22" s="82" t="s">
        <v>344</v>
      </c>
      <c r="F22" s="74"/>
      <c r="G22" s="83" t="s">
        <v>345</v>
      </c>
      <c r="H22" s="84" t="s">
        <v>346</v>
      </c>
      <c r="I22" s="84" t="s">
        <v>347</v>
      </c>
      <c r="J22" s="85" t="s">
        <v>121</v>
      </c>
      <c r="K22" s="74"/>
    </row>
    <row r="23">
      <c r="A23" s="72"/>
      <c r="C23" s="82" t="s">
        <v>348</v>
      </c>
      <c r="D23" s="82" t="s">
        <v>242</v>
      </c>
      <c r="E23" s="82" t="s">
        <v>349</v>
      </c>
      <c r="F23" s="74"/>
      <c r="G23" s="83" t="s">
        <v>350</v>
      </c>
      <c r="H23" s="84" t="s">
        <v>351</v>
      </c>
      <c r="I23" s="84" t="s">
        <v>352</v>
      </c>
      <c r="J23" s="85" t="s">
        <v>121</v>
      </c>
      <c r="K23" s="74"/>
    </row>
    <row r="24">
      <c r="A24" s="72"/>
      <c r="C24" s="82" t="s">
        <v>353</v>
      </c>
      <c r="D24" s="82" t="s">
        <v>289</v>
      </c>
      <c r="E24" s="82" t="s">
        <v>354</v>
      </c>
      <c r="F24" s="74"/>
      <c r="G24" s="83" t="s">
        <v>355</v>
      </c>
      <c r="H24" s="84" t="s">
        <v>356</v>
      </c>
      <c r="I24" s="84" t="s">
        <v>357</v>
      </c>
      <c r="J24" s="85" t="s">
        <v>127</v>
      </c>
      <c r="K24" s="74"/>
    </row>
    <row r="25">
      <c r="A25" s="72"/>
      <c r="C25" s="82" t="s">
        <v>358</v>
      </c>
      <c r="D25" s="82" t="s">
        <v>242</v>
      </c>
      <c r="E25" s="82" t="s">
        <v>359</v>
      </c>
      <c r="F25" s="74"/>
      <c r="G25" s="83" t="s">
        <v>360</v>
      </c>
      <c r="H25" s="84" t="s">
        <v>361</v>
      </c>
      <c r="I25" s="84" t="s">
        <v>362</v>
      </c>
      <c r="J25" s="85" t="s">
        <v>127</v>
      </c>
      <c r="K25" s="74"/>
    </row>
    <row r="26">
      <c r="A26" s="72"/>
      <c r="C26" s="82" t="s">
        <v>363</v>
      </c>
      <c r="D26" s="82" t="s">
        <v>289</v>
      </c>
      <c r="E26" s="82" t="s">
        <v>364</v>
      </c>
      <c r="F26" s="74"/>
      <c r="G26" s="83" t="s">
        <v>365</v>
      </c>
      <c r="H26" s="84" t="s">
        <v>366</v>
      </c>
      <c r="I26" s="84" t="s">
        <v>367</v>
      </c>
      <c r="J26" s="85" t="s">
        <v>127</v>
      </c>
      <c r="K26" s="74"/>
    </row>
    <row r="27">
      <c r="A27" s="72"/>
      <c r="C27" s="82" t="s">
        <v>368</v>
      </c>
      <c r="D27" s="82" t="s">
        <v>289</v>
      </c>
      <c r="E27" s="82" t="s">
        <v>369</v>
      </c>
      <c r="F27" s="74"/>
      <c r="G27" s="83" t="s">
        <v>370</v>
      </c>
      <c r="H27" s="84" t="s">
        <v>371</v>
      </c>
      <c r="I27" s="84" t="s">
        <v>372</v>
      </c>
      <c r="J27" s="85" t="s">
        <v>127</v>
      </c>
      <c r="K27" s="74"/>
    </row>
    <row r="28">
      <c r="A28" s="72"/>
      <c r="C28" s="82" t="s">
        <v>373</v>
      </c>
      <c r="D28" s="86" t="s">
        <v>242</v>
      </c>
      <c r="E28" s="86" t="s">
        <v>374</v>
      </c>
      <c r="F28" s="74"/>
      <c r="G28" s="83" t="s">
        <v>375</v>
      </c>
      <c r="H28" s="84" t="s">
        <v>376</v>
      </c>
      <c r="I28" s="84" t="s">
        <v>377</v>
      </c>
      <c r="J28" s="85" t="s">
        <v>133</v>
      </c>
      <c r="K28" s="74"/>
    </row>
    <row r="29">
      <c r="A29" s="72"/>
      <c r="C29" s="82" t="s">
        <v>378</v>
      </c>
      <c r="D29" s="86" t="s">
        <v>263</v>
      </c>
      <c r="E29" s="86" t="s">
        <v>379</v>
      </c>
      <c r="F29" s="74"/>
      <c r="G29" s="83" t="s">
        <v>380</v>
      </c>
      <c r="H29" s="84" t="s">
        <v>381</v>
      </c>
      <c r="I29" s="84" t="s">
        <v>382</v>
      </c>
      <c r="J29" s="85" t="s">
        <v>133</v>
      </c>
      <c r="K29" s="74"/>
    </row>
    <row r="30">
      <c r="A30" s="72"/>
      <c r="C30" s="82" t="s">
        <v>383</v>
      </c>
      <c r="D30" s="86" t="s">
        <v>242</v>
      </c>
      <c r="E30" s="86" t="s">
        <v>384</v>
      </c>
      <c r="F30" s="74"/>
      <c r="G30" s="83" t="s">
        <v>385</v>
      </c>
      <c r="H30" s="84" t="s">
        <v>386</v>
      </c>
      <c r="I30" s="84" t="s">
        <v>387</v>
      </c>
      <c r="J30" s="85" t="s">
        <v>133</v>
      </c>
      <c r="K30" s="74"/>
    </row>
    <row r="31">
      <c r="A31" s="72"/>
      <c r="C31" s="82" t="s">
        <v>388</v>
      </c>
      <c r="D31" s="86" t="s">
        <v>242</v>
      </c>
      <c r="E31" s="86" t="s">
        <v>389</v>
      </c>
      <c r="F31" s="74"/>
      <c r="G31" s="83" t="s">
        <v>390</v>
      </c>
      <c r="H31" s="84" t="s">
        <v>391</v>
      </c>
      <c r="I31" s="84" t="s">
        <v>392</v>
      </c>
      <c r="J31" s="85" t="s">
        <v>133</v>
      </c>
      <c r="K31" s="74"/>
    </row>
    <row r="32">
      <c r="A32" s="72"/>
      <c r="C32" s="82" t="s">
        <v>393</v>
      </c>
      <c r="D32" s="82" t="s">
        <v>394</v>
      </c>
      <c r="E32" s="82" t="s">
        <v>395</v>
      </c>
      <c r="F32" s="74"/>
      <c r="G32" s="83" t="s">
        <v>396</v>
      </c>
      <c r="H32" s="84" t="s">
        <v>397</v>
      </c>
      <c r="I32" s="84" t="s">
        <v>398</v>
      </c>
      <c r="J32" s="85" t="s">
        <v>139</v>
      </c>
      <c r="K32" s="74"/>
    </row>
    <row r="33">
      <c r="A33" s="72"/>
      <c r="C33" s="82" t="s">
        <v>399</v>
      </c>
      <c r="D33" s="82" t="s">
        <v>263</v>
      </c>
      <c r="E33" s="82" t="s">
        <v>400</v>
      </c>
      <c r="F33" s="74"/>
      <c r="G33" s="83" t="s">
        <v>401</v>
      </c>
      <c r="H33" s="84" t="s">
        <v>402</v>
      </c>
      <c r="I33" s="84" t="s">
        <v>403</v>
      </c>
      <c r="J33" s="85" t="s">
        <v>139</v>
      </c>
      <c r="K33" s="74"/>
    </row>
    <row r="34">
      <c r="A34" s="72"/>
      <c r="C34" s="82" t="s">
        <v>404</v>
      </c>
      <c r="D34" s="82" t="s">
        <v>405</v>
      </c>
      <c r="E34" s="82" t="s">
        <v>406</v>
      </c>
      <c r="F34" s="74"/>
      <c r="G34" s="83" t="s">
        <v>407</v>
      </c>
      <c r="H34" s="84" t="s">
        <v>408</v>
      </c>
      <c r="I34" s="84" t="s">
        <v>409</v>
      </c>
      <c r="J34" s="85" t="s">
        <v>139</v>
      </c>
      <c r="K34" s="74"/>
    </row>
    <row r="35">
      <c r="A35" s="72"/>
      <c r="C35" s="82" t="s">
        <v>410</v>
      </c>
      <c r="D35" s="82" t="s">
        <v>394</v>
      </c>
      <c r="E35" s="82" t="s">
        <v>411</v>
      </c>
      <c r="F35" s="74"/>
      <c r="G35" s="83" t="s">
        <v>412</v>
      </c>
      <c r="H35" s="84" t="s">
        <v>413</v>
      </c>
      <c r="I35" s="84" t="s">
        <v>414</v>
      </c>
      <c r="J35" s="85" t="s">
        <v>139</v>
      </c>
      <c r="K35" s="74"/>
    </row>
    <row r="36">
      <c r="A36" s="72"/>
      <c r="C36" s="82" t="s">
        <v>415</v>
      </c>
      <c r="D36" s="82" t="s">
        <v>416</v>
      </c>
      <c r="E36" s="82" t="s">
        <v>417</v>
      </c>
      <c r="F36" s="74"/>
      <c r="G36" s="83" t="s">
        <v>418</v>
      </c>
      <c r="H36" s="84" t="s">
        <v>419</v>
      </c>
      <c r="I36" s="84" t="s">
        <v>420</v>
      </c>
      <c r="J36" s="85" t="s">
        <v>145</v>
      </c>
      <c r="K36" s="74"/>
    </row>
    <row r="37">
      <c r="A37" s="72"/>
      <c r="C37" s="82" t="s">
        <v>421</v>
      </c>
      <c r="D37" s="82" t="s">
        <v>416</v>
      </c>
      <c r="E37" s="82" t="s">
        <v>422</v>
      </c>
      <c r="F37" s="74"/>
      <c r="G37" s="83" t="s">
        <v>423</v>
      </c>
      <c r="H37" s="84" t="s">
        <v>424</v>
      </c>
      <c r="I37" s="84" t="s">
        <v>425</v>
      </c>
      <c r="J37" s="85" t="s">
        <v>145</v>
      </c>
      <c r="K37" s="74"/>
    </row>
    <row r="38">
      <c r="A38" s="72"/>
      <c r="C38" s="82" t="s">
        <v>426</v>
      </c>
      <c r="D38" s="82" t="s">
        <v>242</v>
      </c>
      <c r="E38" s="82" t="s">
        <v>427</v>
      </c>
      <c r="F38" s="74"/>
      <c r="G38" s="83" t="s">
        <v>428</v>
      </c>
      <c r="H38" s="84" t="s">
        <v>429</v>
      </c>
      <c r="I38" s="84" t="s">
        <v>430</v>
      </c>
      <c r="J38" s="85" t="s">
        <v>145</v>
      </c>
      <c r="K38" s="74"/>
    </row>
    <row r="39">
      <c r="A39" s="72"/>
      <c r="C39" s="82" t="s">
        <v>431</v>
      </c>
      <c r="D39" s="82" t="s">
        <v>263</v>
      </c>
      <c r="E39" s="82" t="s">
        <v>432</v>
      </c>
      <c r="F39" s="74"/>
      <c r="G39" s="83" t="s">
        <v>433</v>
      </c>
      <c r="H39" s="84" t="s">
        <v>434</v>
      </c>
      <c r="I39" s="84" t="s">
        <v>435</v>
      </c>
      <c r="J39" s="85" t="s">
        <v>145</v>
      </c>
      <c r="K39" s="74"/>
    </row>
    <row r="40">
      <c r="A40" s="72"/>
      <c r="C40" s="82" t="s">
        <v>436</v>
      </c>
      <c r="D40" s="82" t="s">
        <v>405</v>
      </c>
      <c r="E40" s="82" t="s">
        <v>437</v>
      </c>
      <c r="F40" s="74"/>
      <c r="G40" s="83" t="s">
        <v>438</v>
      </c>
      <c r="H40" s="84" t="s">
        <v>439</v>
      </c>
      <c r="I40" s="84" t="s">
        <v>440</v>
      </c>
      <c r="J40" s="85" t="s">
        <v>145</v>
      </c>
      <c r="K40" s="74"/>
    </row>
    <row r="41">
      <c r="A41" s="72"/>
      <c r="C41" s="82" t="s">
        <v>441</v>
      </c>
      <c r="D41" s="82" t="s">
        <v>394</v>
      </c>
      <c r="E41" s="82" t="s">
        <v>442</v>
      </c>
      <c r="F41" s="74"/>
      <c r="G41" s="83" t="s">
        <v>443</v>
      </c>
      <c r="H41" s="84" t="s">
        <v>444</v>
      </c>
      <c r="I41" s="84" t="s">
        <v>445</v>
      </c>
      <c r="J41" s="85" t="s">
        <v>145</v>
      </c>
      <c r="K41" s="74"/>
    </row>
    <row r="42">
      <c r="A42" s="72"/>
      <c r="C42" s="82" t="s">
        <v>446</v>
      </c>
      <c r="D42" s="82" t="s">
        <v>263</v>
      </c>
      <c r="E42" s="82" t="s">
        <v>447</v>
      </c>
      <c r="F42" s="74"/>
      <c r="G42" s="83" t="s">
        <v>448</v>
      </c>
      <c r="H42" s="84" t="s">
        <v>449</v>
      </c>
      <c r="I42" s="84" t="s">
        <v>450</v>
      </c>
      <c r="J42" s="85" t="s">
        <v>151</v>
      </c>
      <c r="K42" s="74"/>
    </row>
    <row r="43">
      <c r="A43" s="72"/>
      <c r="C43" s="82" t="s">
        <v>451</v>
      </c>
      <c r="D43" s="82" t="s">
        <v>263</v>
      </c>
      <c r="E43" s="82" t="s">
        <v>452</v>
      </c>
      <c r="F43" s="74"/>
      <c r="G43" s="83" t="s">
        <v>453</v>
      </c>
      <c r="H43" s="84" t="s">
        <v>454</v>
      </c>
      <c r="I43" s="84" t="s">
        <v>455</v>
      </c>
      <c r="J43" s="85" t="s">
        <v>151</v>
      </c>
      <c r="K43" s="74"/>
    </row>
    <row r="44">
      <c r="A44" s="72"/>
      <c r="C44" s="82" t="s">
        <v>456</v>
      </c>
      <c r="D44" s="82" t="s">
        <v>263</v>
      </c>
      <c r="E44" s="82" t="s">
        <v>457</v>
      </c>
      <c r="F44" s="74"/>
      <c r="G44" s="83" t="s">
        <v>458</v>
      </c>
      <c r="H44" s="84" t="s">
        <v>459</v>
      </c>
      <c r="I44" s="84" t="s">
        <v>460</v>
      </c>
      <c r="J44" s="85" t="s">
        <v>151</v>
      </c>
      <c r="K44" s="74"/>
    </row>
    <row r="45">
      <c r="A45" s="72"/>
      <c r="C45" s="82" t="s">
        <v>461</v>
      </c>
      <c r="D45" s="82" t="s">
        <v>263</v>
      </c>
      <c r="E45" s="82" t="s">
        <v>462</v>
      </c>
      <c r="F45" s="74"/>
      <c r="G45" s="83" t="s">
        <v>463</v>
      </c>
      <c r="H45" s="84" t="s">
        <v>464</v>
      </c>
      <c r="I45" s="84" t="s">
        <v>465</v>
      </c>
      <c r="J45" s="85" t="s">
        <v>151</v>
      </c>
      <c r="K45" s="74"/>
    </row>
    <row r="46">
      <c r="A46" s="72"/>
      <c r="B46" s="87" t="s">
        <v>466</v>
      </c>
      <c r="C46" s="88" t="s">
        <v>467</v>
      </c>
      <c r="D46" s="88" t="s">
        <v>468</v>
      </c>
      <c r="E46" s="88" t="s">
        <v>469</v>
      </c>
      <c r="F46" s="74"/>
      <c r="G46" s="89" t="s">
        <v>470</v>
      </c>
      <c r="H46" s="90" t="s">
        <v>471</v>
      </c>
      <c r="I46" s="90" t="s">
        <v>472</v>
      </c>
      <c r="J46" s="91" t="s">
        <v>161</v>
      </c>
      <c r="K46" s="74"/>
    </row>
    <row r="47">
      <c r="A47" s="72"/>
      <c r="C47" s="88" t="s">
        <v>473</v>
      </c>
      <c r="D47" s="88" t="s">
        <v>468</v>
      </c>
      <c r="E47" s="88" t="s">
        <v>474</v>
      </c>
      <c r="F47" s="74"/>
      <c r="G47" s="89" t="s">
        <v>475</v>
      </c>
      <c r="H47" s="90" t="s">
        <v>476</v>
      </c>
      <c r="I47" s="90" t="s">
        <v>477</v>
      </c>
      <c r="J47" s="91" t="s">
        <v>161</v>
      </c>
      <c r="K47" s="74"/>
    </row>
    <row r="48">
      <c r="A48" s="72"/>
      <c r="C48" s="88" t="s">
        <v>478</v>
      </c>
      <c r="D48" s="88" t="s">
        <v>468</v>
      </c>
      <c r="E48" s="88" t="s">
        <v>479</v>
      </c>
      <c r="F48" s="74"/>
      <c r="G48" s="89" t="s">
        <v>480</v>
      </c>
      <c r="H48" s="90" t="s">
        <v>481</v>
      </c>
      <c r="I48" s="90" t="s">
        <v>482</v>
      </c>
      <c r="J48" s="91" t="s">
        <v>161</v>
      </c>
      <c r="K48" s="74"/>
    </row>
    <row r="49">
      <c r="A49" s="72"/>
      <c r="C49" s="88" t="s">
        <v>483</v>
      </c>
      <c r="D49" s="88" t="s">
        <v>468</v>
      </c>
      <c r="E49" s="88" t="s">
        <v>484</v>
      </c>
      <c r="F49" s="74"/>
      <c r="G49" s="89" t="s">
        <v>485</v>
      </c>
      <c r="H49" s="90" t="s">
        <v>486</v>
      </c>
      <c r="I49" s="90" t="s">
        <v>487</v>
      </c>
      <c r="J49" s="91" t="s">
        <v>161</v>
      </c>
      <c r="K49" s="74"/>
    </row>
    <row r="50">
      <c r="A50" s="72"/>
      <c r="C50" s="88" t="s">
        <v>488</v>
      </c>
      <c r="D50" s="88" t="s">
        <v>242</v>
      </c>
      <c r="E50" s="88" t="s">
        <v>489</v>
      </c>
      <c r="F50" s="74"/>
      <c r="G50" s="89" t="s">
        <v>490</v>
      </c>
      <c r="H50" s="90" t="s">
        <v>491</v>
      </c>
      <c r="I50" s="90" t="s">
        <v>492</v>
      </c>
      <c r="J50" s="92" t="s">
        <v>161</v>
      </c>
      <c r="K50" s="74"/>
    </row>
    <row r="51">
      <c r="A51" s="72"/>
      <c r="C51" s="88" t="s">
        <v>493</v>
      </c>
      <c r="D51" s="88" t="s">
        <v>242</v>
      </c>
      <c r="E51" s="88" t="s">
        <v>494</v>
      </c>
      <c r="F51" s="74"/>
      <c r="G51" s="89" t="s">
        <v>495</v>
      </c>
      <c r="H51" s="90" t="s">
        <v>496</v>
      </c>
      <c r="I51" s="90" t="s">
        <v>497</v>
      </c>
      <c r="J51" s="92" t="s">
        <v>161</v>
      </c>
      <c r="K51" s="74"/>
    </row>
    <row r="52">
      <c r="A52" s="72"/>
      <c r="C52" s="88" t="s">
        <v>498</v>
      </c>
      <c r="D52" s="88" t="s">
        <v>242</v>
      </c>
      <c r="E52" s="88" t="s">
        <v>499</v>
      </c>
      <c r="F52" s="74"/>
      <c r="G52" s="89" t="s">
        <v>500</v>
      </c>
      <c r="H52" s="90" t="s">
        <v>501</v>
      </c>
      <c r="I52" s="90" t="s">
        <v>256</v>
      </c>
      <c r="J52" s="92" t="s">
        <v>161</v>
      </c>
      <c r="K52" s="74"/>
    </row>
    <row r="53">
      <c r="A53" s="72"/>
      <c r="C53" s="88" t="s">
        <v>502</v>
      </c>
      <c r="D53" s="88" t="s">
        <v>242</v>
      </c>
      <c r="E53" s="88" t="s">
        <v>503</v>
      </c>
      <c r="F53" s="74"/>
      <c r="G53" s="89" t="s">
        <v>504</v>
      </c>
      <c r="H53" s="90" t="s">
        <v>505</v>
      </c>
      <c r="I53" s="90" t="s">
        <v>506</v>
      </c>
      <c r="J53" s="92" t="s">
        <v>161</v>
      </c>
      <c r="K53" s="74"/>
    </row>
    <row r="54">
      <c r="A54" s="72"/>
      <c r="C54" s="88" t="s">
        <v>507</v>
      </c>
      <c r="D54" s="88" t="s">
        <v>289</v>
      </c>
      <c r="E54" s="88" t="s">
        <v>508</v>
      </c>
      <c r="F54" s="74"/>
      <c r="G54" s="89" t="s">
        <v>509</v>
      </c>
      <c r="H54" s="90" t="s">
        <v>510</v>
      </c>
      <c r="I54" s="90" t="s">
        <v>511</v>
      </c>
      <c r="J54" s="92" t="s">
        <v>167</v>
      </c>
      <c r="K54" s="74"/>
    </row>
    <row r="55">
      <c r="A55" s="72"/>
      <c r="C55" s="88" t="s">
        <v>512</v>
      </c>
      <c r="D55" s="88" t="s">
        <v>289</v>
      </c>
      <c r="E55" s="88" t="s">
        <v>513</v>
      </c>
      <c r="F55" s="74"/>
      <c r="G55" s="89" t="s">
        <v>514</v>
      </c>
      <c r="H55" s="90" t="s">
        <v>515</v>
      </c>
      <c r="I55" s="90" t="s">
        <v>516</v>
      </c>
      <c r="J55" s="92" t="s">
        <v>167</v>
      </c>
      <c r="K55" s="74"/>
    </row>
    <row r="56">
      <c r="A56" s="72"/>
      <c r="C56" s="88" t="s">
        <v>517</v>
      </c>
      <c r="D56" s="88" t="s">
        <v>289</v>
      </c>
      <c r="E56" s="88" t="s">
        <v>518</v>
      </c>
      <c r="F56" s="74"/>
      <c r="G56" s="89" t="s">
        <v>519</v>
      </c>
      <c r="H56" s="90" t="s">
        <v>520</v>
      </c>
      <c r="I56" s="90" t="s">
        <v>521</v>
      </c>
      <c r="J56" s="92" t="s">
        <v>167</v>
      </c>
      <c r="K56" s="74"/>
    </row>
    <row r="57">
      <c r="A57" s="72"/>
      <c r="C57" s="88" t="s">
        <v>522</v>
      </c>
      <c r="D57" s="88" t="s">
        <v>289</v>
      </c>
      <c r="E57" s="88" t="s">
        <v>523</v>
      </c>
      <c r="F57" s="74"/>
      <c r="G57" s="89" t="s">
        <v>524</v>
      </c>
      <c r="H57" s="90" t="s">
        <v>525</v>
      </c>
      <c r="I57" s="90" t="s">
        <v>526</v>
      </c>
      <c r="J57" s="92" t="s">
        <v>167</v>
      </c>
      <c r="K57" s="74"/>
    </row>
    <row r="58">
      <c r="A58" s="72"/>
      <c r="C58" s="88" t="s">
        <v>527</v>
      </c>
      <c r="D58" s="88" t="s">
        <v>289</v>
      </c>
      <c r="E58" s="88" t="s">
        <v>528</v>
      </c>
      <c r="F58" s="74"/>
      <c r="G58" s="89" t="s">
        <v>529</v>
      </c>
      <c r="H58" s="90" t="s">
        <v>530</v>
      </c>
      <c r="I58" s="90" t="s">
        <v>531</v>
      </c>
      <c r="J58" s="92" t="s">
        <v>173</v>
      </c>
      <c r="K58" s="74"/>
    </row>
    <row r="59">
      <c r="A59" s="72"/>
      <c r="C59" s="88" t="s">
        <v>532</v>
      </c>
      <c r="D59" s="88" t="s">
        <v>289</v>
      </c>
      <c r="E59" s="88" t="s">
        <v>533</v>
      </c>
      <c r="F59" s="74"/>
      <c r="G59" s="89" t="s">
        <v>534</v>
      </c>
      <c r="H59" s="90" t="s">
        <v>535</v>
      </c>
      <c r="I59" s="90" t="s">
        <v>536</v>
      </c>
      <c r="J59" s="92" t="s">
        <v>173</v>
      </c>
      <c r="K59" s="74"/>
    </row>
    <row r="60">
      <c r="A60" s="72"/>
      <c r="C60" s="88" t="s">
        <v>537</v>
      </c>
      <c r="D60" s="88" t="s">
        <v>289</v>
      </c>
      <c r="E60" s="88" t="s">
        <v>538</v>
      </c>
      <c r="F60" s="74"/>
      <c r="G60" s="89" t="s">
        <v>539</v>
      </c>
      <c r="H60" s="90" t="s">
        <v>540</v>
      </c>
      <c r="I60" s="90" t="s">
        <v>541</v>
      </c>
      <c r="J60" s="92" t="s">
        <v>173</v>
      </c>
      <c r="K60" s="74"/>
    </row>
    <row r="61">
      <c r="A61" s="72"/>
      <c r="C61" s="88" t="s">
        <v>542</v>
      </c>
      <c r="D61" s="88" t="s">
        <v>289</v>
      </c>
      <c r="E61" s="88" t="s">
        <v>543</v>
      </c>
      <c r="F61" s="74"/>
      <c r="G61" s="89" t="s">
        <v>544</v>
      </c>
      <c r="H61" s="90" t="s">
        <v>545</v>
      </c>
      <c r="I61" s="90" t="s">
        <v>546</v>
      </c>
      <c r="J61" s="92" t="s">
        <v>173</v>
      </c>
      <c r="K61" s="74"/>
    </row>
    <row r="62">
      <c r="A62" s="72"/>
      <c r="B62" s="93" t="s">
        <v>547</v>
      </c>
      <c r="C62" s="94" t="s">
        <v>548</v>
      </c>
      <c r="D62" s="94" t="s">
        <v>289</v>
      </c>
      <c r="E62" s="94" t="s">
        <v>549</v>
      </c>
      <c r="F62" s="74"/>
      <c r="G62" s="95" t="s">
        <v>550</v>
      </c>
      <c r="H62" s="96" t="s">
        <v>551</v>
      </c>
      <c r="I62" s="96" t="s">
        <v>552</v>
      </c>
      <c r="J62" s="97" t="s">
        <v>189</v>
      </c>
      <c r="K62" s="74"/>
    </row>
    <row r="63">
      <c r="A63" s="72"/>
      <c r="C63" s="94" t="s">
        <v>553</v>
      </c>
      <c r="D63" s="94" t="s">
        <v>263</v>
      </c>
      <c r="E63" s="94" t="s">
        <v>554</v>
      </c>
      <c r="F63" s="74"/>
      <c r="G63" s="95" t="s">
        <v>555</v>
      </c>
      <c r="H63" s="96" t="s">
        <v>556</v>
      </c>
      <c r="I63" s="96" t="s">
        <v>557</v>
      </c>
      <c r="J63" s="97" t="s">
        <v>189</v>
      </c>
      <c r="K63" s="74"/>
    </row>
    <row r="64">
      <c r="A64" s="72"/>
      <c r="C64" s="94" t="s">
        <v>558</v>
      </c>
      <c r="D64" s="94" t="s">
        <v>289</v>
      </c>
      <c r="E64" s="94" t="s">
        <v>559</v>
      </c>
      <c r="F64" s="74"/>
      <c r="G64" s="95" t="s">
        <v>560</v>
      </c>
      <c r="H64" s="96" t="s">
        <v>561</v>
      </c>
      <c r="I64" s="96" t="s">
        <v>562</v>
      </c>
      <c r="J64" s="97" t="s">
        <v>189</v>
      </c>
      <c r="K64" s="74"/>
    </row>
    <row r="65">
      <c r="A65" s="72"/>
      <c r="C65" s="94" t="s">
        <v>563</v>
      </c>
      <c r="D65" s="94" t="s">
        <v>289</v>
      </c>
      <c r="E65" s="94" t="s">
        <v>564</v>
      </c>
      <c r="F65" s="74"/>
      <c r="G65" s="95" t="s">
        <v>565</v>
      </c>
      <c r="H65" s="96" t="s">
        <v>566</v>
      </c>
      <c r="I65" s="96" t="s">
        <v>567</v>
      </c>
      <c r="J65" s="97" t="s">
        <v>189</v>
      </c>
      <c r="K65" s="74"/>
    </row>
    <row r="66">
      <c r="A66" s="72"/>
      <c r="C66" s="94" t="s">
        <v>568</v>
      </c>
      <c r="D66" s="94" t="s">
        <v>394</v>
      </c>
      <c r="E66" s="94" t="s">
        <v>569</v>
      </c>
      <c r="F66" s="74"/>
      <c r="G66" s="95" t="s">
        <v>570</v>
      </c>
      <c r="H66" s="96" t="s">
        <v>571</v>
      </c>
      <c r="I66" s="96" t="s">
        <v>572</v>
      </c>
      <c r="J66" s="97" t="s">
        <v>183</v>
      </c>
      <c r="K66" s="74"/>
    </row>
    <row r="67">
      <c r="A67" s="72"/>
      <c r="C67" s="94" t="s">
        <v>573</v>
      </c>
      <c r="D67" s="94" t="s">
        <v>394</v>
      </c>
      <c r="E67" s="94" t="s">
        <v>574</v>
      </c>
      <c r="F67" s="74"/>
      <c r="G67" s="95" t="s">
        <v>575</v>
      </c>
      <c r="H67" s="96" t="s">
        <v>576</v>
      </c>
      <c r="I67" s="96" t="s">
        <v>577</v>
      </c>
      <c r="J67" s="97" t="s">
        <v>183</v>
      </c>
      <c r="K67" s="74"/>
    </row>
    <row r="68">
      <c r="A68" s="72"/>
      <c r="C68" s="94" t="s">
        <v>578</v>
      </c>
      <c r="D68" s="94" t="s">
        <v>394</v>
      </c>
      <c r="E68" s="94" t="s">
        <v>579</v>
      </c>
      <c r="F68" s="74"/>
      <c r="G68" s="95" t="s">
        <v>580</v>
      </c>
      <c r="H68" s="96" t="s">
        <v>581</v>
      </c>
      <c r="I68" s="96" t="s">
        <v>256</v>
      </c>
      <c r="J68" s="97" t="s">
        <v>183</v>
      </c>
      <c r="K68" s="74"/>
    </row>
    <row r="69">
      <c r="A69" s="72"/>
      <c r="C69" s="94" t="s">
        <v>582</v>
      </c>
      <c r="D69" s="94" t="s">
        <v>394</v>
      </c>
      <c r="E69" s="94" t="s">
        <v>583</v>
      </c>
      <c r="F69" s="74"/>
      <c r="G69" s="95" t="s">
        <v>584</v>
      </c>
      <c r="H69" s="96" t="s">
        <v>585</v>
      </c>
      <c r="I69" s="96" t="s">
        <v>586</v>
      </c>
      <c r="J69" s="97" t="s">
        <v>183</v>
      </c>
      <c r="K69" s="74"/>
    </row>
    <row r="70">
      <c r="A70" s="72"/>
      <c r="C70" s="94" t="s">
        <v>587</v>
      </c>
      <c r="D70" s="94" t="s">
        <v>394</v>
      </c>
      <c r="E70" s="94" t="s">
        <v>588</v>
      </c>
      <c r="F70" s="74"/>
      <c r="G70" s="95" t="s">
        <v>589</v>
      </c>
      <c r="H70" s="96" t="s">
        <v>590</v>
      </c>
      <c r="I70" s="96" t="s">
        <v>591</v>
      </c>
      <c r="J70" s="97" t="s">
        <v>183</v>
      </c>
      <c r="K70" s="74"/>
    </row>
    <row r="71">
      <c r="A71" s="72"/>
      <c r="B71" s="98" t="s">
        <v>592</v>
      </c>
      <c r="C71" s="99" t="s">
        <v>593</v>
      </c>
      <c r="D71" s="99" t="s">
        <v>242</v>
      </c>
      <c r="E71" s="99" t="s">
        <v>594</v>
      </c>
      <c r="F71" s="74"/>
      <c r="G71" s="100" t="s">
        <v>595</v>
      </c>
      <c r="H71" s="101" t="s">
        <v>596</v>
      </c>
      <c r="I71" s="101" t="s">
        <v>597</v>
      </c>
      <c r="J71" s="102" t="s">
        <v>199</v>
      </c>
      <c r="K71" s="74"/>
    </row>
    <row r="72">
      <c r="A72" s="72"/>
      <c r="C72" s="99" t="s">
        <v>598</v>
      </c>
      <c r="D72" s="99" t="s">
        <v>242</v>
      </c>
      <c r="E72" s="99" t="s">
        <v>599</v>
      </c>
      <c r="F72" s="74"/>
      <c r="G72" s="100" t="s">
        <v>600</v>
      </c>
      <c r="H72" s="101" t="s">
        <v>601</v>
      </c>
      <c r="I72" s="101" t="s">
        <v>602</v>
      </c>
      <c r="J72" s="102" t="s">
        <v>199</v>
      </c>
      <c r="K72" s="74"/>
    </row>
    <row r="73">
      <c r="A73" s="72"/>
      <c r="C73" s="99" t="s">
        <v>603</v>
      </c>
      <c r="D73" s="99" t="s">
        <v>289</v>
      </c>
      <c r="E73" s="99" t="s">
        <v>604</v>
      </c>
      <c r="F73" s="74"/>
      <c r="G73" s="100" t="s">
        <v>605</v>
      </c>
      <c r="H73" s="101" t="s">
        <v>606</v>
      </c>
      <c r="I73" s="101" t="s">
        <v>607</v>
      </c>
      <c r="J73" s="102" t="s">
        <v>211</v>
      </c>
      <c r="K73" s="74"/>
    </row>
    <row r="74">
      <c r="A74" s="72"/>
      <c r="C74" s="99" t="s">
        <v>608</v>
      </c>
      <c r="D74" s="99" t="s">
        <v>263</v>
      </c>
      <c r="E74" s="99" t="s">
        <v>609</v>
      </c>
      <c r="F74" s="74"/>
      <c r="G74" s="100" t="s">
        <v>610</v>
      </c>
      <c r="H74" s="101" t="s">
        <v>611</v>
      </c>
      <c r="I74" s="101" t="s">
        <v>612</v>
      </c>
      <c r="J74" s="102" t="s">
        <v>211</v>
      </c>
      <c r="K74" s="74"/>
    </row>
    <row r="75">
      <c r="A75" s="72"/>
      <c r="C75" s="99" t="s">
        <v>613</v>
      </c>
      <c r="D75" s="99" t="s">
        <v>289</v>
      </c>
      <c r="E75" s="99" t="s">
        <v>614</v>
      </c>
      <c r="F75" s="74"/>
      <c r="G75" s="100" t="s">
        <v>615</v>
      </c>
      <c r="H75" s="101" t="s">
        <v>616</v>
      </c>
      <c r="I75" s="101" t="s">
        <v>617</v>
      </c>
      <c r="J75" s="102" t="s">
        <v>211</v>
      </c>
      <c r="K75" s="74"/>
    </row>
    <row r="76">
      <c r="A76" s="72"/>
      <c r="C76" s="99" t="s">
        <v>618</v>
      </c>
      <c r="D76" s="99" t="s">
        <v>289</v>
      </c>
      <c r="E76" s="99" t="s">
        <v>619</v>
      </c>
      <c r="F76" s="74"/>
      <c r="G76" s="100" t="s">
        <v>620</v>
      </c>
      <c r="H76" s="101" t="s">
        <v>621</v>
      </c>
      <c r="I76" s="101" t="s">
        <v>622</v>
      </c>
      <c r="J76" s="102" t="s">
        <v>211</v>
      </c>
      <c r="K76" s="74"/>
    </row>
    <row r="77">
      <c r="A77" s="72"/>
      <c r="C77" s="99" t="s">
        <v>623</v>
      </c>
      <c r="D77" s="99" t="s">
        <v>242</v>
      </c>
      <c r="E77" s="99" t="s">
        <v>624</v>
      </c>
      <c r="F77" s="74"/>
      <c r="G77" s="100" t="s">
        <v>625</v>
      </c>
      <c r="H77" s="101" t="s">
        <v>626</v>
      </c>
      <c r="I77" s="101" t="s">
        <v>627</v>
      </c>
      <c r="J77" s="102" t="s">
        <v>205</v>
      </c>
      <c r="K77" s="74"/>
    </row>
    <row r="78">
      <c r="A78" s="72"/>
      <c r="C78" s="99" t="s">
        <v>628</v>
      </c>
      <c r="D78" s="99" t="s">
        <v>242</v>
      </c>
      <c r="E78" s="99" t="s">
        <v>629</v>
      </c>
      <c r="F78" s="74"/>
      <c r="G78" s="100" t="s">
        <v>630</v>
      </c>
      <c r="H78" s="101" t="s">
        <v>631</v>
      </c>
      <c r="I78" s="101" t="s">
        <v>632</v>
      </c>
      <c r="J78" s="102" t="s">
        <v>205</v>
      </c>
      <c r="K78" s="74"/>
    </row>
    <row r="79">
      <c r="A79" s="72"/>
      <c r="C79" s="99" t="s">
        <v>633</v>
      </c>
      <c r="D79" s="99" t="s">
        <v>242</v>
      </c>
      <c r="E79" s="99" t="s">
        <v>634</v>
      </c>
      <c r="F79" s="74"/>
      <c r="G79" s="100" t="s">
        <v>635</v>
      </c>
      <c r="H79" s="101" t="s">
        <v>636</v>
      </c>
      <c r="I79" s="101" t="s">
        <v>637</v>
      </c>
      <c r="J79" s="102" t="s">
        <v>205</v>
      </c>
      <c r="K79" s="74"/>
    </row>
    <row r="80">
      <c r="A80" s="72"/>
      <c r="C80" s="99" t="s">
        <v>638</v>
      </c>
      <c r="D80" s="99" t="s">
        <v>242</v>
      </c>
      <c r="E80" s="99" t="s">
        <v>639</v>
      </c>
      <c r="F80" s="74"/>
      <c r="G80" s="100" t="s">
        <v>640</v>
      </c>
      <c r="H80" s="101" t="s">
        <v>641</v>
      </c>
      <c r="I80" s="101" t="s">
        <v>642</v>
      </c>
      <c r="J80" s="102" t="s">
        <v>205</v>
      </c>
      <c r="K80" s="74"/>
    </row>
    <row r="81">
      <c r="A81" s="72"/>
    </row>
  </sheetData>
  <mergeCells count="6">
    <mergeCell ref="B2:B19"/>
    <mergeCell ref="A81:K81"/>
    <mergeCell ref="B71:B80"/>
    <mergeCell ref="B62:B70"/>
    <mergeCell ref="B46:B61"/>
    <mergeCell ref="B20:B45"/>
  </mergeCells>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1.22" defaultRowHeight="15.0"/>
  <cols>
    <col customWidth="1" min="1" max="1" width="3.78"/>
    <col customWidth="1" min="2" max="2" width="23.56"/>
    <col customWidth="1" min="3" max="3" width="19.0"/>
    <col customWidth="1" min="4" max="4" width="15.22"/>
    <col customWidth="1" min="5" max="5" width="13.78"/>
    <col customWidth="1" min="6" max="6" width="14.44"/>
    <col customWidth="1" min="7" max="7" width="16.22"/>
    <col customWidth="1" min="8" max="8" width="17.78"/>
    <col customWidth="1" min="9" max="9" width="21.67"/>
    <col customWidth="1" min="10" max="10" width="29.44"/>
    <col customWidth="1" min="11" max="11" width="4.0"/>
  </cols>
  <sheetData>
    <row r="1" ht="77.25" customHeight="1">
      <c r="A1" s="103"/>
      <c r="B1" s="104" t="s">
        <v>643</v>
      </c>
      <c r="C1" s="105"/>
      <c r="D1" s="105"/>
      <c r="E1" s="105"/>
      <c r="F1" s="105"/>
      <c r="G1" s="105"/>
      <c r="H1" s="105"/>
      <c r="I1" s="105"/>
      <c r="J1" s="106"/>
      <c r="K1" s="103"/>
    </row>
    <row r="2">
      <c r="B2" s="107" t="s">
        <v>644</v>
      </c>
      <c r="C2" s="107" t="s">
        <v>645</v>
      </c>
      <c r="D2" s="107" t="s">
        <v>646</v>
      </c>
      <c r="E2" s="107" t="s">
        <v>647</v>
      </c>
      <c r="F2" s="107" t="s">
        <v>648</v>
      </c>
      <c r="G2" s="107" t="s">
        <v>649</v>
      </c>
      <c r="H2" s="107" t="s">
        <v>650</v>
      </c>
      <c r="I2" s="108" t="s">
        <v>651</v>
      </c>
      <c r="J2" s="107" t="s">
        <v>652</v>
      </c>
    </row>
    <row r="3">
      <c r="B3" s="109" t="s">
        <v>232</v>
      </c>
      <c r="C3" s="110" t="s">
        <v>653</v>
      </c>
      <c r="D3" s="111">
        <v>46064.0</v>
      </c>
      <c r="E3" s="111">
        <v>46065.0</v>
      </c>
      <c r="F3" s="112">
        <f>'01-Core Architecture'!G25
</f>
        <v>11</v>
      </c>
      <c r="G3" s="112">
        <f>'01-Core Architecture'!C25
</f>
        <v>0</v>
      </c>
      <c r="H3" s="113"/>
      <c r="I3" s="110" t="s">
        <v>654</v>
      </c>
      <c r="J3" s="113"/>
    </row>
    <row r="4">
      <c r="B4" s="109" t="s">
        <v>332</v>
      </c>
      <c r="C4" s="114" t="s">
        <v>655</v>
      </c>
      <c r="D4" s="111">
        <v>46071.0</v>
      </c>
      <c r="E4" s="111">
        <v>46072.0</v>
      </c>
      <c r="F4" s="112">
        <f>'02-Order Fulfillment'!G25
</f>
        <v>0</v>
      </c>
      <c r="G4" s="112">
        <f>'02-Order Fulfillment'!C25
</f>
        <v>0</v>
      </c>
      <c r="H4" s="113"/>
      <c r="I4" s="110" t="s">
        <v>654</v>
      </c>
      <c r="J4" s="115"/>
    </row>
    <row r="5">
      <c r="B5" s="109" t="s">
        <v>466</v>
      </c>
      <c r="C5" s="114" t="s">
        <v>656</v>
      </c>
      <c r="D5" s="111">
        <v>46078.0</v>
      </c>
      <c r="E5" s="111">
        <v>46079.0</v>
      </c>
      <c r="F5" s="112">
        <f>'03-Inventory'!G25
</f>
        <v>0</v>
      </c>
      <c r="G5" s="112">
        <f>'03-Inventory'!C26
</f>
        <v>0</v>
      </c>
      <c r="H5" s="113"/>
      <c r="I5" s="110" t="s">
        <v>654</v>
      </c>
      <c r="J5" s="115"/>
    </row>
    <row r="6">
      <c r="B6" s="109" t="s">
        <v>547</v>
      </c>
      <c r="C6" s="114" t="s">
        <v>657</v>
      </c>
      <c r="D6" s="111">
        <v>46085.0</v>
      </c>
      <c r="E6" s="111">
        <v>46086.0</v>
      </c>
      <c r="F6" s="112">
        <f>'04-Customer Management'!G25
</f>
        <v>0</v>
      </c>
      <c r="G6" s="112">
        <f>'04-Customer Management'!C26
</f>
        <v>0</v>
      </c>
      <c r="H6" s="113"/>
      <c r="I6" s="110" t="s">
        <v>654</v>
      </c>
      <c r="J6" s="115"/>
    </row>
    <row r="7">
      <c r="B7" s="109" t="s">
        <v>592</v>
      </c>
      <c r="C7" s="114" t="s">
        <v>658</v>
      </c>
      <c r="D7" s="111">
        <v>46092.0</v>
      </c>
      <c r="E7" s="111">
        <v>46093.0</v>
      </c>
      <c r="F7" s="112">
        <f>'05-Reporting &amp; Analytics'!G25
</f>
        <v>0</v>
      </c>
      <c r="G7" s="112">
        <f>'05-Reporting &amp; Analytics'!G26
</f>
        <v>0</v>
      </c>
      <c r="H7" s="113"/>
      <c r="I7" s="110" t="s">
        <v>654</v>
      </c>
      <c r="J7" s="115"/>
    </row>
    <row r="8">
      <c r="B8" s="109" t="s">
        <v>659</v>
      </c>
      <c r="C8" s="114" t="s">
        <v>660</v>
      </c>
      <c r="D8" s="111">
        <v>46097.0</v>
      </c>
      <c r="E8" s="111">
        <v>46098.0</v>
      </c>
      <c r="F8" s="112">
        <f>'Integration &amp; Final UAT'!G25
</f>
        <v>0</v>
      </c>
      <c r="G8" s="112">
        <f>'Integration &amp; Final UAT'!C26
</f>
        <v>0</v>
      </c>
      <c r="H8" s="113"/>
      <c r="I8" s="110" t="s">
        <v>654</v>
      </c>
      <c r="J8" s="115"/>
    </row>
    <row r="9">
      <c r="B9" s="103"/>
      <c r="C9" s="103"/>
      <c r="D9" s="103"/>
      <c r="E9" s="103"/>
      <c r="F9" s="116"/>
      <c r="G9" s="116"/>
      <c r="H9" s="103"/>
      <c r="I9" s="117"/>
      <c r="J9" s="103"/>
    </row>
  </sheetData>
  <mergeCells count="3">
    <mergeCell ref="A1:A9"/>
    <mergeCell ref="B1:J1"/>
    <mergeCell ref="K1:K9"/>
  </mergeCells>
  <dataValidations>
    <dataValidation type="list" allowBlank="1" showErrorMessage="1" sqref="H3:H8">
      <formula1>"Ongoing,Delayed,Done"</formula1>
    </dataValidation>
    <dataValidation type="list" allowBlank="1" showErrorMessage="1" sqref="I3:I8">
      <formula1>"Lyca Gutierrez,Mauie De Guzman"</formula1>
    </dataValidation>
  </dataValidations>
  <hyperlinks>
    <hyperlink display="Core Architecture" location="'01-Core Architecture'!A1" ref="B3"/>
    <hyperlink display="Order Fulfillment" location="'02-Order Fulfillment'!A1" ref="B4"/>
    <hyperlink display="Inventory" location="'03-Inventory'!A1" ref="B5"/>
    <hyperlink display="Customer Management" location="'03-Inventory'!A1" ref="B6"/>
    <hyperlink display="Reporting &amp; Analytics" location="'05-Reporting &amp; Analytics'!A1" ref="B7"/>
    <hyperlink display="Integration &amp; Final UAT" location="'Integration &amp; Final UAT'!A1" ref="B8"/>
  </hyperlink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CB13"/>
    <pageSetUpPr fitToPage="1"/>
  </sheetPr>
  <sheetViews>
    <sheetView showGridLines="0" workbookViewId="0"/>
  </sheetViews>
  <sheetFormatPr customHeight="1" defaultColWidth="11.22" defaultRowHeight="15.0"/>
  <cols>
    <col customWidth="1" min="1" max="1" width="3.33"/>
    <col customWidth="1" min="2" max="2" width="11.0"/>
    <col customWidth="1" min="3" max="3" width="11.78"/>
    <col customWidth="1" min="4" max="4" width="16.0"/>
    <col customWidth="1" min="5" max="9" width="20.78"/>
    <col customWidth="1" min="10" max="12" width="16.78"/>
    <col customWidth="1" min="13" max="13" width="22.78"/>
    <col customWidth="1" min="14" max="14" width="3.33"/>
  </cols>
  <sheetData>
    <row r="1" ht="66.0" customHeight="1">
      <c r="A1" s="118"/>
      <c r="B1" s="104" t="s">
        <v>661</v>
      </c>
      <c r="C1" s="105"/>
      <c r="D1" s="105"/>
      <c r="E1" s="105"/>
      <c r="F1" s="105"/>
      <c r="G1" s="105"/>
      <c r="H1" s="105"/>
      <c r="I1" s="105"/>
      <c r="J1" s="105"/>
      <c r="K1" s="105"/>
      <c r="L1" s="105"/>
      <c r="M1" s="106"/>
      <c r="N1" s="118"/>
    </row>
    <row r="2" ht="45.75" customHeight="1">
      <c r="A2" s="119"/>
      <c r="B2" s="120"/>
      <c r="C2" s="120"/>
      <c r="D2" s="120"/>
      <c r="E2" s="120"/>
      <c r="F2" s="120"/>
      <c r="G2" s="121"/>
      <c r="H2" s="121"/>
      <c r="I2" s="121"/>
      <c r="J2" s="119"/>
      <c r="K2" s="119"/>
      <c r="L2" s="119"/>
      <c r="M2" s="119"/>
      <c r="N2" s="119"/>
    </row>
    <row r="3" ht="19.5" customHeight="1">
      <c r="A3" s="122"/>
      <c r="B3" s="123" t="s">
        <v>662</v>
      </c>
      <c r="C3" s="124"/>
      <c r="D3" s="124"/>
      <c r="E3" s="124"/>
      <c r="F3" s="125"/>
      <c r="G3" s="126" t="s">
        <v>649</v>
      </c>
      <c r="I3" s="127"/>
      <c r="J3" s="122"/>
      <c r="K3" s="122"/>
      <c r="L3" s="122"/>
      <c r="M3" s="122"/>
      <c r="N3" s="122"/>
    </row>
    <row r="4" ht="34.5" customHeight="1">
      <c r="A4" s="122"/>
      <c r="B4" s="128" t="s">
        <v>28</v>
      </c>
      <c r="C4" s="129"/>
      <c r="D4" s="129"/>
      <c r="E4" s="129"/>
      <c r="F4" s="130"/>
      <c r="G4" s="131">
        <f>C25</f>
        <v>0</v>
      </c>
      <c r="I4" s="127"/>
      <c r="J4" s="122"/>
      <c r="K4" s="122"/>
      <c r="L4" s="122"/>
      <c r="M4" s="122"/>
      <c r="N4" s="122"/>
    </row>
    <row r="5" ht="19.5" customHeight="1">
      <c r="A5" s="122"/>
      <c r="B5" s="132" t="s">
        <v>663</v>
      </c>
      <c r="C5" s="133"/>
      <c r="D5" s="133"/>
      <c r="E5" s="133"/>
      <c r="F5" s="134"/>
      <c r="G5" s="135" t="s">
        <v>664</v>
      </c>
      <c r="I5" s="127"/>
      <c r="J5" s="122"/>
      <c r="K5" s="122"/>
      <c r="L5" s="122"/>
      <c r="M5" s="122"/>
      <c r="N5" s="122"/>
    </row>
    <row r="6" ht="34.5" customHeight="1">
      <c r="A6" s="122"/>
      <c r="B6" s="136" t="s">
        <v>665</v>
      </c>
      <c r="C6" s="129"/>
      <c r="D6" s="129"/>
      <c r="E6" s="129"/>
      <c r="F6" s="130"/>
      <c r="G6" s="131">
        <f>G25</f>
        <v>11</v>
      </c>
      <c r="I6" s="127"/>
      <c r="J6" s="122"/>
      <c r="K6" s="122"/>
      <c r="L6" s="122"/>
      <c r="M6" s="122"/>
      <c r="N6" s="122"/>
    </row>
    <row r="7" ht="15.75" customHeight="1">
      <c r="A7" s="119"/>
      <c r="B7" s="119"/>
      <c r="C7" s="119"/>
      <c r="D7" s="119"/>
      <c r="E7" s="119"/>
      <c r="F7" s="119"/>
      <c r="G7" s="119"/>
      <c r="H7" s="119"/>
      <c r="I7" s="119"/>
      <c r="J7" s="119"/>
      <c r="K7" s="119"/>
      <c r="L7" s="119"/>
      <c r="M7" s="119"/>
      <c r="N7" s="119"/>
    </row>
    <row r="8" ht="15.75" customHeight="1">
      <c r="A8" s="119"/>
      <c r="B8" s="119"/>
      <c r="C8" s="119"/>
      <c r="D8" s="119"/>
      <c r="E8" s="137" t="s">
        <v>666</v>
      </c>
      <c r="F8" s="138"/>
      <c r="G8" s="139"/>
      <c r="H8" s="119"/>
      <c r="I8" s="119"/>
      <c r="J8" s="119"/>
      <c r="K8" s="119"/>
      <c r="L8" s="119"/>
      <c r="M8" s="119"/>
      <c r="N8" s="119"/>
    </row>
    <row r="9" ht="15.75" customHeight="1">
      <c r="A9" s="119"/>
      <c r="B9" s="140" t="s">
        <v>667</v>
      </c>
      <c r="C9" s="125"/>
      <c r="D9" s="141" t="s">
        <v>668</v>
      </c>
      <c r="E9" s="142" t="s">
        <v>669</v>
      </c>
      <c r="F9" s="143" t="s">
        <v>670</v>
      </c>
      <c r="G9" s="139"/>
      <c r="H9" s="119"/>
      <c r="I9" s="119"/>
      <c r="J9" s="119"/>
      <c r="K9" s="119"/>
      <c r="L9" s="119"/>
      <c r="M9" s="119"/>
      <c r="N9" s="119"/>
    </row>
    <row r="10" ht="34.5" customHeight="1">
      <c r="A10" s="119"/>
      <c r="B10" s="144" t="s">
        <v>671</v>
      </c>
      <c r="C10" s="130"/>
      <c r="D10" s="145"/>
      <c r="E10" s="146">
        <v>46064.0</v>
      </c>
      <c r="F10" s="147">
        <v>46065.0</v>
      </c>
      <c r="G10" s="139"/>
      <c r="H10" s="119"/>
      <c r="I10" s="119"/>
      <c r="J10" s="119"/>
      <c r="K10" s="119"/>
      <c r="L10" s="119"/>
      <c r="M10" s="119"/>
      <c r="N10" s="119"/>
    </row>
    <row r="11" ht="15.75" customHeight="1">
      <c r="A11" s="119"/>
      <c r="B11" s="119"/>
      <c r="C11" s="119"/>
      <c r="D11" s="119"/>
      <c r="E11" s="119"/>
      <c r="F11" s="119"/>
      <c r="G11" s="119"/>
      <c r="H11" s="119"/>
      <c r="I11" s="119"/>
      <c r="J11" s="119"/>
      <c r="K11" s="119"/>
      <c r="L11" s="119"/>
      <c r="M11" s="119"/>
      <c r="N11" s="119"/>
    </row>
    <row r="12" ht="24.75" customHeight="1">
      <c r="A12" s="122"/>
      <c r="B12" s="148" t="s">
        <v>672</v>
      </c>
      <c r="C12" s="124"/>
      <c r="D12" s="124"/>
      <c r="E12" s="124"/>
      <c r="F12" s="124"/>
      <c r="G12" s="124"/>
      <c r="H12" s="125"/>
      <c r="I12" s="122"/>
      <c r="J12" s="122"/>
      <c r="K12" s="122"/>
      <c r="L12" s="122"/>
      <c r="M12" s="122"/>
      <c r="N12" s="122"/>
    </row>
    <row r="13" ht="258.75" customHeight="1">
      <c r="A13" s="122"/>
      <c r="B13" s="149" t="s">
        <v>673</v>
      </c>
      <c r="C13" s="129"/>
      <c r="D13" s="129"/>
      <c r="E13" s="129"/>
      <c r="F13" s="129"/>
      <c r="G13" s="129"/>
      <c r="H13" s="130"/>
      <c r="I13" s="122"/>
      <c r="J13" s="122"/>
      <c r="K13" s="122"/>
      <c r="L13" s="122"/>
      <c r="M13" s="122"/>
      <c r="N13" s="122"/>
    </row>
    <row r="14" ht="15.75" customHeight="1">
      <c r="A14" s="119"/>
      <c r="B14" s="119"/>
      <c r="C14" s="119"/>
      <c r="D14" s="119"/>
      <c r="E14" s="119"/>
      <c r="F14" s="119"/>
      <c r="G14" s="119"/>
      <c r="H14" s="119"/>
      <c r="I14" s="119"/>
      <c r="J14" s="119"/>
      <c r="K14" s="119"/>
      <c r="L14" s="119"/>
      <c r="M14" s="119"/>
      <c r="N14" s="119"/>
    </row>
    <row r="15" ht="24.75" customHeight="1">
      <c r="A15" s="122"/>
      <c r="B15" s="150" t="s">
        <v>674</v>
      </c>
      <c r="C15" s="124"/>
      <c r="D15" s="124"/>
      <c r="E15" s="124"/>
      <c r="F15" s="124"/>
      <c r="G15" s="124"/>
      <c r="H15" s="125"/>
      <c r="I15" s="122"/>
      <c r="J15" s="122"/>
      <c r="K15" s="122"/>
      <c r="L15" s="122"/>
      <c r="M15" s="122"/>
      <c r="N15" s="122"/>
    </row>
    <row r="16" ht="64.5" customHeight="1">
      <c r="A16" s="122"/>
      <c r="B16" s="151"/>
      <c r="C16" s="129"/>
      <c r="D16" s="129"/>
      <c r="E16" s="129"/>
      <c r="F16" s="129"/>
      <c r="G16" s="129"/>
      <c r="H16" s="130"/>
      <c r="I16" s="122"/>
      <c r="J16" s="122"/>
      <c r="K16" s="122"/>
      <c r="L16" s="122"/>
      <c r="M16" s="122"/>
      <c r="N16" s="122"/>
    </row>
    <row r="17" ht="24.75" customHeight="1">
      <c r="A17" s="122"/>
      <c r="B17" s="152" t="s">
        <v>675</v>
      </c>
      <c r="C17" s="133"/>
      <c r="D17" s="133"/>
      <c r="E17" s="133"/>
      <c r="F17" s="133"/>
      <c r="G17" s="133"/>
      <c r="H17" s="134"/>
      <c r="I17" s="122"/>
      <c r="J17" s="122"/>
      <c r="K17" s="122"/>
      <c r="L17" s="122"/>
      <c r="M17" s="122"/>
      <c r="N17" s="122"/>
    </row>
    <row r="18" ht="64.5" customHeight="1">
      <c r="A18" s="122"/>
      <c r="B18" s="151"/>
      <c r="C18" s="129"/>
      <c r="D18" s="129"/>
      <c r="E18" s="129"/>
      <c r="F18" s="129"/>
      <c r="G18" s="129"/>
      <c r="H18" s="130"/>
      <c r="I18" s="122"/>
      <c r="J18" s="122"/>
      <c r="K18" s="122"/>
      <c r="L18" s="122"/>
      <c r="M18" s="122"/>
      <c r="N18" s="122"/>
    </row>
    <row r="19" ht="24.75" customHeight="1">
      <c r="A19" s="122"/>
      <c r="B19" s="152" t="s">
        <v>676</v>
      </c>
      <c r="C19" s="133"/>
      <c r="D19" s="133"/>
      <c r="E19" s="133"/>
      <c r="F19" s="133"/>
      <c r="G19" s="133"/>
      <c r="H19" s="134"/>
      <c r="I19" s="122"/>
      <c r="J19" s="122"/>
      <c r="K19" s="122"/>
      <c r="L19" s="122"/>
      <c r="M19" s="122"/>
      <c r="N19" s="122"/>
    </row>
    <row r="20" ht="64.5" customHeight="1">
      <c r="A20" s="122"/>
      <c r="B20" s="153"/>
      <c r="C20" s="129"/>
      <c r="D20" s="129"/>
      <c r="E20" s="129"/>
      <c r="F20" s="129"/>
      <c r="G20" s="129"/>
      <c r="H20" s="130"/>
      <c r="I20" s="122"/>
      <c r="J20" s="122"/>
      <c r="K20" s="122"/>
      <c r="L20" s="122"/>
      <c r="M20" s="122"/>
      <c r="N20" s="122"/>
    </row>
    <row r="21" ht="69.0" customHeight="1">
      <c r="A21" s="119"/>
      <c r="B21" s="119"/>
      <c r="C21" s="119"/>
      <c r="D21" s="119"/>
      <c r="E21" s="119"/>
      <c r="F21" s="119"/>
      <c r="G21" s="119"/>
      <c r="H21" s="119"/>
      <c r="I21" s="119"/>
      <c r="J21" s="119"/>
      <c r="K21" s="119"/>
      <c r="L21" s="119"/>
      <c r="M21" s="119"/>
      <c r="N21" s="119"/>
    </row>
    <row r="22" ht="9.0" customHeight="1">
      <c r="A22" s="119"/>
      <c r="B22" s="154"/>
      <c r="C22" s="154"/>
      <c r="D22" s="154"/>
      <c r="E22" s="154"/>
      <c r="F22" s="154"/>
      <c r="G22" s="154"/>
      <c r="H22" s="154"/>
      <c r="I22" s="154"/>
      <c r="J22" s="154"/>
      <c r="K22" s="154"/>
      <c r="L22" s="154"/>
      <c r="M22" s="154"/>
      <c r="N22" s="119"/>
    </row>
    <row r="23" ht="34.5" customHeight="1">
      <c r="A23" s="122"/>
      <c r="B23" s="155" t="s">
        <v>677</v>
      </c>
      <c r="C23" s="156"/>
      <c r="D23" s="156"/>
      <c r="E23" s="156"/>
      <c r="F23" s="156"/>
      <c r="G23" s="156"/>
      <c r="H23" s="156"/>
      <c r="I23" s="156"/>
      <c r="J23" s="156"/>
      <c r="K23" s="156"/>
      <c r="L23" s="156"/>
      <c r="M23" s="156"/>
      <c r="N23" s="156"/>
    </row>
    <row r="24" ht="25.5" customHeight="1">
      <c r="A24" s="119"/>
      <c r="B24" s="157" t="s">
        <v>678</v>
      </c>
      <c r="D24" s="157"/>
      <c r="E24" s="119"/>
      <c r="F24" s="157" t="s">
        <v>679</v>
      </c>
      <c r="I24" s="119"/>
      <c r="J24" s="158" t="s">
        <v>680</v>
      </c>
      <c r="M24" s="119"/>
      <c r="N24" s="119"/>
    </row>
    <row r="25" ht="54.75" customHeight="1">
      <c r="A25" s="119"/>
      <c r="B25" s="159" t="s">
        <v>681</v>
      </c>
      <c r="C25" s="160">
        <f>COUNTIF(B35:B59, "*")</f>
        <v>0</v>
      </c>
      <c r="D25" s="157"/>
      <c r="E25" s="119"/>
      <c r="F25" s="161" t="s">
        <v>682</v>
      </c>
      <c r="G25" s="162">
        <f>COUNTIF(B64:B213, "*")</f>
        <v>11</v>
      </c>
      <c r="I25" s="119"/>
      <c r="J25" s="163" t="s">
        <v>683</v>
      </c>
      <c r="K25" s="164">
        <f t="shared" ref="K25:K27" si="1">COUNTIF(K63:K212,J25)</f>
        <v>0</v>
      </c>
      <c r="L25" s="119"/>
      <c r="M25" s="119"/>
      <c r="N25" s="119"/>
    </row>
    <row r="26" ht="28.5" customHeight="1">
      <c r="A26" s="119"/>
      <c r="B26" s="165" t="s">
        <v>684</v>
      </c>
      <c r="C26" s="164">
        <f>COUNTIF(H35:H59,B26)</f>
        <v>0</v>
      </c>
      <c r="D26" s="157"/>
      <c r="E26" s="119"/>
      <c r="F26" s="166" t="s">
        <v>685</v>
      </c>
      <c r="G26" s="164">
        <f>COUNTIF(J64:J213,F26)</f>
        <v>0</v>
      </c>
      <c r="I26" s="119"/>
      <c r="J26" s="163" t="s">
        <v>686</v>
      </c>
      <c r="K26" s="164">
        <f t="shared" si="1"/>
        <v>0</v>
      </c>
      <c r="L26" s="119"/>
      <c r="M26" s="119"/>
      <c r="N26" s="119"/>
    </row>
    <row r="27" ht="28.5" customHeight="1">
      <c r="A27" s="119"/>
      <c r="B27" s="167" t="s">
        <v>112</v>
      </c>
      <c r="C27" s="168">
        <f>COUNTIF(H35:H59,B27)</f>
        <v>0</v>
      </c>
      <c r="D27" s="157"/>
      <c r="E27" s="119"/>
      <c r="F27" s="169" t="s">
        <v>687</v>
      </c>
      <c r="G27" s="168">
        <f>COUNTIF(J64:J213,F27)</f>
        <v>0</v>
      </c>
      <c r="I27" s="119"/>
      <c r="J27" s="163" t="s">
        <v>688</v>
      </c>
      <c r="K27" s="164">
        <f t="shared" si="1"/>
        <v>0</v>
      </c>
      <c r="L27" s="119"/>
      <c r="M27" s="119"/>
      <c r="N27" s="119"/>
    </row>
    <row r="28" ht="28.5" customHeight="1">
      <c r="A28" s="119"/>
      <c r="B28" s="167" t="s">
        <v>689</v>
      </c>
      <c r="C28" s="168">
        <f>COUNTIF(H35:H59,B28)</f>
        <v>0</v>
      </c>
      <c r="D28" s="157"/>
      <c r="E28" s="119"/>
      <c r="F28" s="169" t="s">
        <v>690</v>
      </c>
      <c r="G28" s="168">
        <f>COUNTIF(J64:J213,F28)</f>
        <v>0</v>
      </c>
      <c r="I28" s="119"/>
      <c r="J28" s="119"/>
      <c r="K28" s="119"/>
      <c r="L28" s="119"/>
      <c r="M28" s="119"/>
      <c r="N28" s="119"/>
    </row>
    <row r="29" ht="28.5" customHeight="1">
      <c r="A29" s="119"/>
      <c r="B29" s="170" t="s">
        <v>691</v>
      </c>
      <c r="C29" s="168">
        <f>COUNTIF(I35:I59,B29)</f>
        <v>0</v>
      </c>
      <c r="D29" s="157"/>
      <c r="E29" s="119"/>
      <c r="F29" s="169" t="s">
        <v>692</v>
      </c>
      <c r="G29" s="168">
        <f>COUNTIF(J64:J213,F29)</f>
        <v>0</v>
      </c>
      <c r="I29" s="119"/>
      <c r="J29" s="119"/>
      <c r="K29" s="119"/>
      <c r="L29" s="119"/>
      <c r="M29" s="119"/>
      <c r="N29" s="119"/>
    </row>
    <row r="30" ht="28.5" customHeight="1">
      <c r="A30" s="119"/>
      <c r="B30" s="163" t="s">
        <v>693</v>
      </c>
      <c r="C30" s="168">
        <f>COUNTIF(I35:I59,B30)</f>
        <v>0</v>
      </c>
      <c r="D30" s="157"/>
      <c r="E30" s="119"/>
      <c r="F30" s="119"/>
      <c r="G30" s="119"/>
      <c r="H30" s="119"/>
      <c r="I30" s="119"/>
      <c r="J30" s="119"/>
      <c r="K30" s="119"/>
      <c r="L30" s="119"/>
      <c r="M30" s="119"/>
      <c r="N30" s="119"/>
    </row>
    <row r="31" ht="28.5" customHeight="1">
      <c r="A31" s="119"/>
      <c r="B31" s="170" t="s">
        <v>694</v>
      </c>
      <c r="C31" s="168">
        <f>COUNTIF(I35:I59,B31)</f>
        <v>0</v>
      </c>
      <c r="D31" s="157"/>
      <c r="E31" s="119"/>
      <c r="F31" s="119"/>
      <c r="G31" s="119"/>
      <c r="H31" s="119"/>
      <c r="I31" s="119"/>
      <c r="J31" s="119"/>
      <c r="K31" s="119"/>
      <c r="L31" s="119"/>
      <c r="M31" s="119"/>
      <c r="N31" s="119"/>
    </row>
    <row r="32" ht="15.75" customHeight="1">
      <c r="A32" s="119"/>
      <c r="B32" s="119"/>
      <c r="C32" s="119"/>
      <c r="D32" s="119"/>
      <c r="E32" s="119"/>
      <c r="F32" s="119"/>
      <c r="G32" s="119"/>
      <c r="H32" s="119"/>
      <c r="I32" s="119"/>
      <c r="J32" s="119"/>
      <c r="K32" s="119"/>
      <c r="L32" s="119"/>
      <c r="M32" s="119"/>
      <c r="N32" s="119"/>
    </row>
    <row r="33" ht="34.5" customHeight="1">
      <c r="A33" s="122"/>
      <c r="B33" s="171" t="s">
        <v>695</v>
      </c>
      <c r="C33" s="156"/>
      <c r="D33" s="156"/>
      <c r="E33" s="156"/>
      <c r="F33" s="156"/>
      <c r="G33" s="156"/>
      <c r="H33" s="156"/>
      <c r="I33" s="156"/>
      <c r="J33" s="156"/>
      <c r="K33" s="156"/>
      <c r="L33" s="156"/>
      <c r="M33" s="156"/>
      <c r="N33" s="156"/>
    </row>
    <row r="34" ht="39.75" customHeight="1">
      <c r="A34" s="172"/>
      <c r="B34" s="173" t="s">
        <v>696</v>
      </c>
      <c r="C34" s="173" t="s">
        <v>697</v>
      </c>
      <c r="D34" s="174" t="s">
        <v>698</v>
      </c>
      <c r="E34" s="174" t="s">
        <v>699</v>
      </c>
      <c r="F34" s="174" t="s">
        <v>700</v>
      </c>
      <c r="G34" s="175" t="s">
        <v>701</v>
      </c>
      <c r="H34" s="173" t="s">
        <v>702</v>
      </c>
      <c r="I34" s="173" t="s">
        <v>703</v>
      </c>
      <c r="J34" s="176" t="s">
        <v>704</v>
      </c>
      <c r="K34" s="176" t="s">
        <v>652</v>
      </c>
      <c r="L34" s="119"/>
      <c r="M34" s="119"/>
      <c r="N34" s="172"/>
    </row>
    <row r="35" ht="15.75" customHeight="1">
      <c r="A35" s="119"/>
      <c r="B35" s="177"/>
      <c r="C35" s="178"/>
      <c r="D35" s="179"/>
      <c r="E35" s="179"/>
      <c r="F35" s="179"/>
      <c r="G35" s="179"/>
      <c r="H35" s="180"/>
      <c r="I35" s="181"/>
      <c r="J35" s="182"/>
      <c r="K35" s="183"/>
      <c r="L35" s="119"/>
      <c r="M35" s="119"/>
      <c r="N35" s="119"/>
    </row>
    <row r="36" ht="15.75" customHeight="1">
      <c r="A36" s="119"/>
      <c r="B36" s="184"/>
      <c r="C36" s="178"/>
      <c r="D36" s="179"/>
      <c r="E36" s="179"/>
      <c r="F36" s="179"/>
      <c r="G36" s="179"/>
      <c r="H36" s="185"/>
      <c r="I36" s="181"/>
      <c r="J36" s="182"/>
      <c r="K36" s="183"/>
      <c r="L36" s="119"/>
      <c r="M36" s="119"/>
      <c r="N36" s="119"/>
    </row>
    <row r="37" ht="15.75" customHeight="1">
      <c r="A37" s="119"/>
      <c r="B37" s="184"/>
      <c r="C37" s="178"/>
      <c r="D37" s="179"/>
      <c r="E37" s="179"/>
      <c r="F37" s="179"/>
      <c r="G37" s="179"/>
      <c r="H37" s="167"/>
      <c r="I37" s="186"/>
      <c r="J37" s="182"/>
      <c r="K37" s="183"/>
      <c r="L37" s="119"/>
      <c r="M37" s="119"/>
      <c r="N37" s="119"/>
    </row>
    <row r="38" ht="15.75" customHeight="1">
      <c r="A38" s="119"/>
      <c r="B38" s="184"/>
      <c r="C38" s="178"/>
      <c r="D38" s="179"/>
      <c r="E38" s="179"/>
      <c r="F38" s="179"/>
      <c r="G38" s="179"/>
      <c r="H38" s="187"/>
      <c r="I38" s="186"/>
      <c r="J38" s="182"/>
      <c r="K38" s="183"/>
      <c r="L38" s="119"/>
      <c r="M38" s="119"/>
      <c r="N38" s="119"/>
    </row>
    <row r="39" ht="15.75" customHeight="1">
      <c r="A39" s="119"/>
      <c r="B39" s="184"/>
      <c r="C39" s="178"/>
      <c r="D39" s="179"/>
      <c r="E39" s="179"/>
      <c r="F39" s="179"/>
      <c r="G39" s="179"/>
      <c r="H39" s="187"/>
      <c r="I39" s="186"/>
      <c r="J39" s="182"/>
      <c r="K39" s="183"/>
      <c r="L39" s="119"/>
      <c r="M39" s="119"/>
      <c r="N39" s="119"/>
    </row>
    <row r="40" ht="15.75" customHeight="1">
      <c r="A40" s="119"/>
      <c r="B40" s="184"/>
      <c r="C40" s="178"/>
      <c r="D40" s="179"/>
      <c r="E40" s="179"/>
      <c r="F40" s="179"/>
      <c r="G40" s="179"/>
      <c r="H40" s="187"/>
      <c r="I40" s="186"/>
      <c r="J40" s="182"/>
      <c r="K40" s="183"/>
      <c r="L40" s="119"/>
      <c r="M40" s="119"/>
      <c r="N40" s="119"/>
    </row>
    <row r="41" ht="15.75" customHeight="1">
      <c r="A41" s="119"/>
      <c r="B41" s="184"/>
      <c r="C41" s="178"/>
      <c r="D41" s="179"/>
      <c r="E41" s="179"/>
      <c r="F41" s="179"/>
      <c r="G41" s="179"/>
      <c r="H41" s="187"/>
      <c r="I41" s="186"/>
      <c r="J41" s="182"/>
      <c r="K41" s="183"/>
      <c r="L41" s="119"/>
      <c r="M41" s="119"/>
      <c r="N41" s="119"/>
    </row>
    <row r="42" ht="15.75" customHeight="1">
      <c r="A42" s="119"/>
      <c r="B42" s="184"/>
      <c r="C42" s="178"/>
      <c r="D42" s="179"/>
      <c r="E42" s="179"/>
      <c r="F42" s="179"/>
      <c r="G42" s="179"/>
      <c r="H42" s="187"/>
      <c r="I42" s="181"/>
      <c r="J42" s="182"/>
      <c r="K42" s="183"/>
      <c r="L42" s="119"/>
      <c r="M42" s="119"/>
      <c r="N42" s="119"/>
    </row>
    <row r="43" ht="15.75" customHeight="1">
      <c r="A43" s="119"/>
      <c r="B43" s="184"/>
      <c r="C43" s="178"/>
      <c r="D43" s="179"/>
      <c r="E43" s="179"/>
      <c r="F43" s="179"/>
      <c r="G43" s="179"/>
      <c r="H43" s="187"/>
      <c r="I43" s="186"/>
      <c r="J43" s="182"/>
      <c r="K43" s="183"/>
      <c r="L43" s="119"/>
      <c r="M43" s="119"/>
      <c r="N43" s="119"/>
    </row>
    <row r="44" ht="15.75" customHeight="1">
      <c r="A44" s="119"/>
      <c r="B44" s="184"/>
      <c r="C44" s="178"/>
      <c r="D44" s="179"/>
      <c r="E44" s="179"/>
      <c r="F44" s="179"/>
      <c r="G44" s="179"/>
      <c r="H44" s="187"/>
      <c r="I44" s="186"/>
      <c r="J44" s="182"/>
      <c r="K44" s="183"/>
      <c r="L44" s="119"/>
      <c r="M44" s="119"/>
      <c r="N44" s="119"/>
    </row>
    <row r="45" ht="15.75" customHeight="1">
      <c r="A45" s="119"/>
      <c r="B45" s="184"/>
      <c r="C45" s="178"/>
      <c r="D45" s="179"/>
      <c r="E45" s="179"/>
      <c r="F45" s="179"/>
      <c r="G45" s="179"/>
      <c r="H45" s="187"/>
      <c r="I45" s="186"/>
      <c r="J45" s="182"/>
      <c r="K45" s="183"/>
      <c r="L45" s="119"/>
      <c r="M45" s="119"/>
      <c r="N45" s="119"/>
    </row>
    <row r="46" ht="15.75" customHeight="1">
      <c r="A46" s="119"/>
      <c r="B46" s="184"/>
      <c r="C46" s="178"/>
      <c r="D46" s="179"/>
      <c r="E46" s="179"/>
      <c r="F46" s="179"/>
      <c r="G46" s="179"/>
      <c r="H46" s="187"/>
      <c r="I46" s="186"/>
      <c r="J46" s="182"/>
      <c r="K46" s="183"/>
      <c r="L46" s="119"/>
      <c r="M46" s="119"/>
      <c r="N46" s="119"/>
    </row>
    <row r="47" ht="15.75" customHeight="1">
      <c r="A47" s="119"/>
      <c r="B47" s="184"/>
      <c r="C47" s="178"/>
      <c r="D47" s="179"/>
      <c r="E47" s="179"/>
      <c r="F47" s="179"/>
      <c r="G47" s="179"/>
      <c r="H47" s="187"/>
      <c r="I47" s="186"/>
      <c r="J47" s="182"/>
      <c r="K47" s="183"/>
      <c r="L47" s="119"/>
      <c r="M47" s="119"/>
      <c r="N47" s="119"/>
    </row>
    <row r="48" ht="15.75" customHeight="1">
      <c r="A48" s="119"/>
      <c r="B48" s="184"/>
      <c r="C48" s="178"/>
      <c r="D48" s="179"/>
      <c r="E48" s="179"/>
      <c r="F48" s="179"/>
      <c r="G48" s="179"/>
      <c r="H48" s="187"/>
      <c r="I48" s="186"/>
      <c r="J48" s="182"/>
      <c r="K48" s="183"/>
      <c r="L48" s="119"/>
      <c r="M48" s="119"/>
      <c r="N48" s="119"/>
    </row>
    <row r="49" ht="15.75" customHeight="1">
      <c r="A49" s="119"/>
      <c r="B49" s="184"/>
      <c r="C49" s="178"/>
      <c r="D49" s="179"/>
      <c r="E49" s="179"/>
      <c r="F49" s="179"/>
      <c r="G49" s="179"/>
      <c r="H49" s="187"/>
      <c r="I49" s="181"/>
      <c r="J49" s="182"/>
      <c r="K49" s="183"/>
      <c r="L49" s="119"/>
      <c r="M49" s="119"/>
      <c r="N49" s="119"/>
    </row>
    <row r="50" ht="15.75" customHeight="1">
      <c r="A50" s="119"/>
      <c r="B50" s="184"/>
      <c r="C50" s="178"/>
      <c r="D50" s="179"/>
      <c r="E50" s="179"/>
      <c r="F50" s="179"/>
      <c r="G50" s="179"/>
      <c r="H50" s="187"/>
      <c r="I50" s="186"/>
      <c r="J50" s="182"/>
      <c r="K50" s="183"/>
      <c r="L50" s="119"/>
      <c r="M50" s="119"/>
      <c r="N50" s="119"/>
    </row>
    <row r="51" ht="15.75" customHeight="1">
      <c r="A51" s="119"/>
      <c r="B51" s="184"/>
      <c r="C51" s="178"/>
      <c r="D51" s="179"/>
      <c r="E51" s="179"/>
      <c r="F51" s="179"/>
      <c r="G51" s="179"/>
      <c r="H51" s="187"/>
      <c r="I51" s="186"/>
      <c r="J51" s="182"/>
      <c r="K51" s="183"/>
      <c r="L51" s="119"/>
      <c r="M51" s="119"/>
      <c r="N51" s="119"/>
    </row>
    <row r="52" ht="15.75" customHeight="1">
      <c r="A52" s="119"/>
      <c r="B52" s="184"/>
      <c r="C52" s="178"/>
      <c r="D52" s="179"/>
      <c r="E52" s="179"/>
      <c r="F52" s="179"/>
      <c r="G52" s="179"/>
      <c r="H52" s="187"/>
      <c r="I52" s="186"/>
      <c r="J52" s="182"/>
      <c r="K52" s="183"/>
      <c r="L52" s="119"/>
      <c r="M52" s="119"/>
      <c r="N52" s="119"/>
    </row>
    <row r="53" ht="15.75" customHeight="1">
      <c r="A53" s="119"/>
      <c r="B53" s="184"/>
      <c r="C53" s="178"/>
      <c r="D53" s="179"/>
      <c r="E53" s="179"/>
      <c r="F53" s="179"/>
      <c r="G53" s="179"/>
      <c r="H53" s="187"/>
      <c r="I53" s="186"/>
      <c r="J53" s="182"/>
      <c r="K53" s="183"/>
      <c r="L53" s="119"/>
      <c r="M53" s="119"/>
      <c r="N53" s="119"/>
    </row>
    <row r="54" ht="15.75" customHeight="1">
      <c r="A54" s="119"/>
      <c r="B54" s="184"/>
      <c r="C54" s="178"/>
      <c r="D54" s="179"/>
      <c r="E54" s="179"/>
      <c r="F54" s="179"/>
      <c r="G54" s="179"/>
      <c r="H54" s="187"/>
      <c r="I54" s="186"/>
      <c r="J54" s="182"/>
      <c r="K54" s="183"/>
      <c r="L54" s="119"/>
      <c r="M54" s="119"/>
      <c r="N54" s="119"/>
    </row>
    <row r="55" ht="15.75" customHeight="1">
      <c r="A55" s="119"/>
      <c r="B55" s="184"/>
      <c r="C55" s="178"/>
      <c r="D55" s="179"/>
      <c r="E55" s="179"/>
      <c r="F55" s="179"/>
      <c r="G55" s="179"/>
      <c r="H55" s="187"/>
      <c r="I55" s="186"/>
      <c r="J55" s="182"/>
      <c r="K55" s="183"/>
      <c r="L55" s="119"/>
      <c r="M55" s="119"/>
      <c r="N55" s="119"/>
    </row>
    <row r="56" ht="15.75" customHeight="1">
      <c r="A56" s="119"/>
      <c r="B56" s="184"/>
      <c r="C56" s="178"/>
      <c r="D56" s="179"/>
      <c r="E56" s="179"/>
      <c r="F56" s="179"/>
      <c r="G56" s="179"/>
      <c r="H56" s="187"/>
      <c r="I56" s="186"/>
      <c r="J56" s="182"/>
      <c r="K56" s="183"/>
      <c r="L56" s="119"/>
      <c r="M56" s="119"/>
      <c r="N56" s="119"/>
    </row>
    <row r="57" ht="15.75" customHeight="1">
      <c r="A57" s="119"/>
      <c r="B57" s="184"/>
      <c r="C57" s="178"/>
      <c r="D57" s="179"/>
      <c r="E57" s="179"/>
      <c r="F57" s="179"/>
      <c r="G57" s="179"/>
      <c r="H57" s="187"/>
      <c r="I57" s="186"/>
      <c r="J57" s="182"/>
      <c r="K57" s="183"/>
      <c r="L57" s="119"/>
      <c r="M57" s="119"/>
      <c r="N57" s="119"/>
    </row>
    <row r="58" ht="15.75" customHeight="1">
      <c r="A58" s="119"/>
      <c r="B58" s="184"/>
      <c r="C58" s="178"/>
      <c r="D58" s="179"/>
      <c r="E58" s="179"/>
      <c r="F58" s="179"/>
      <c r="G58" s="179"/>
      <c r="H58" s="187"/>
      <c r="I58" s="186"/>
      <c r="J58" s="182"/>
      <c r="K58" s="183"/>
      <c r="L58" s="119"/>
      <c r="M58" s="119"/>
      <c r="N58" s="119"/>
    </row>
    <row r="59" ht="15.75" customHeight="1">
      <c r="A59" s="119"/>
      <c r="B59" s="184"/>
      <c r="C59" s="178"/>
      <c r="D59" s="179"/>
      <c r="E59" s="179"/>
      <c r="F59" s="179"/>
      <c r="G59" s="179"/>
      <c r="H59" s="187"/>
      <c r="I59" s="186"/>
      <c r="J59" s="182"/>
      <c r="K59" s="183"/>
      <c r="L59" s="119"/>
      <c r="M59" s="119"/>
      <c r="N59" s="119"/>
    </row>
    <row r="60" ht="15.75" customHeight="1">
      <c r="A60" s="119"/>
      <c r="B60" s="119"/>
      <c r="C60" s="119"/>
      <c r="D60" s="119"/>
      <c r="E60" s="119"/>
      <c r="F60" s="119"/>
      <c r="G60" s="119"/>
      <c r="H60" s="119"/>
      <c r="I60" s="119"/>
      <c r="J60" s="119"/>
      <c r="K60" s="119"/>
      <c r="L60" s="119"/>
      <c r="M60" s="119"/>
      <c r="N60" s="119"/>
    </row>
    <row r="61" ht="9.75" customHeight="1">
      <c r="A61" s="122"/>
      <c r="B61" s="122"/>
      <c r="C61" s="156"/>
      <c r="D61" s="156"/>
      <c r="E61" s="156"/>
      <c r="F61" s="156"/>
      <c r="G61" s="156"/>
      <c r="H61" s="156"/>
      <c r="I61" s="156"/>
      <c r="J61" s="156"/>
      <c r="K61" s="156"/>
      <c r="L61" s="156"/>
      <c r="M61" s="156"/>
      <c r="N61" s="156"/>
    </row>
    <row r="62" ht="34.5" customHeight="1">
      <c r="A62" s="122"/>
      <c r="B62" s="188" t="s">
        <v>705</v>
      </c>
      <c r="C62" s="156"/>
      <c r="D62" s="156"/>
      <c r="E62" s="156"/>
      <c r="F62" s="156"/>
      <c r="G62" s="156"/>
      <c r="H62" s="156"/>
      <c r="I62" s="156"/>
      <c r="J62" s="156"/>
      <c r="K62" s="156"/>
      <c r="L62" s="156"/>
      <c r="M62" s="156"/>
      <c r="N62" s="156"/>
    </row>
    <row r="63" ht="39.75" customHeight="1">
      <c r="A63" s="172"/>
      <c r="B63" s="189" t="s">
        <v>706</v>
      </c>
      <c r="C63" s="189" t="s">
        <v>707</v>
      </c>
      <c r="D63" s="190" t="s">
        <v>645</v>
      </c>
      <c r="E63" s="191" t="s">
        <v>698</v>
      </c>
      <c r="F63" s="191" t="s">
        <v>708</v>
      </c>
      <c r="G63" s="191" t="s">
        <v>709</v>
      </c>
      <c r="H63" s="191" t="s">
        <v>710</v>
      </c>
      <c r="I63" s="192" t="s">
        <v>701</v>
      </c>
      <c r="J63" s="193" t="s">
        <v>711</v>
      </c>
      <c r="K63" s="194" t="s">
        <v>712</v>
      </c>
      <c r="L63" s="176" t="s">
        <v>713</v>
      </c>
      <c r="M63" s="176" t="s">
        <v>652</v>
      </c>
      <c r="N63" s="172"/>
    </row>
    <row r="64">
      <c r="A64" s="119"/>
      <c r="B64" s="195" t="s">
        <v>714</v>
      </c>
      <c r="C64" s="196"/>
      <c r="D64" s="197" t="s">
        <v>715</v>
      </c>
      <c r="E64" s="197" t="s">
        <v>716</v>
      </c>
      <c r="F64" s="197" t="s">
        <v>717</v>
      </c>
      <c r="G64" s="197" t="s">
        <v>718</v>
      </c>
      <c r="H64" s="179"/>
      <c r="I64" s="179"/>
      <c r="J64" s="198"/>
      <c r="K64" s="199"/>
      <c r="L64" s="182"/>
      <c r="M64" s="183"/>
      <c r="N64" s="119"/>
    </row>
    <row r="65">
      <c r="A65" s="119"/>
      <c r="B65" s="195" t="s">
        <v>719</v>
      </c>
      <c r="C65" s="196"/>
      <c r="D65" s="197" t="s">
        <v>715</v>
      </c>
      <c r="E65" s="200" t="s">
        <v>720</v>
      </c>
      <c r="F65" s="197" t="s">
        <v>721</v>
      </c>
      <c r="G65" s="197" t="s">
        <v>722</v>
      </c>
      <c r="H65" s="179"/>
      <c r="I65" s="179"/>
      <c r="J65" s="198"/>
      <c r="K65" s="199"/>
      <c r="L65" s="182"/>
      <c r="M65" s="183"/>
      <c r="N65" s="119"/>
    </row>
    <row r="66">
      <c r="A66" s="119"/>
      <c r="B66" s="195" t="s">
        <v>723</v>
      </c>
      <c r="C66" s="196"/>
      <c r="D66" s="197" t="s">
        <v>715</v>
      </c>
      <c r="E66" s="200" t="s">
        <v>724</v>
      </c>
      <c r="F66" s="197" t="s">
        <v>725</v>
      </c>
      <c r="G66" s="197" t="s">
        <v>726</v>
      </c>
      <c r="H66" s="179"/>
      <c r="I66" s="179"/>
      <c r="J66" s="198"/>
      <c r="K66" s="199"/>
      <c r="L66" s="182"/>
      <c r="M66" s="183"/>
      <c r="N66" s="119"/>
    </row>
    <row r="67">
      <c r="A67" s="119"/>
      <c r="B67" s="195" t="s">
        <v>727</v>
      </c>
      <c r="C67" s="196"/>
      <c r="D67" s="197" t="s">
        <v>728</v>
      </c>
      <c r="E67" s="200" t="s">
        <v>729</v>
      </c>
      <c r="F67" s="197" t="s">
        <v>730</v>
      </c>
      <c r="G67" s="197" t="s">
        <v>731</v>
      </c>
      <c r="H67" s="179"/>
      <c r="I67" s="179"/>
      <c r="J67" s="201"/>
      <c r="K67" s="199"/>
      <c r="L67" s="182"/>
      <c r="M67" s="183"/>
      <c r="N67" s="119"/>
    </row>
    <row r="68">
      <c r="A68" s="119"/>
      <c r="B68" s="195" t="s">
        <v>732</v>
      </c>
      <c r="C68" s="196"/>
      <c r="D68" s="197" t="s">
        <v>733</v>
      </c>
      <c r="E68" s="197" t="s">
        <v>734</v>
      </c>
      <c r="F68" s="197" t="s">
        <v>735</v>
      </c>
      <c r="G68" s="197" t="s">
        <v>736</v>
      </c>
      <c r="H68" s="179"/>
      <c r="I68" s="179"/>
      <c r="J68" s="201"/>
      <c r="K68" s="199"/>
      <c r="L68" s="182"/>
      <c r="M68" s="183"/>
      <c r="N68" s="119"/>
    </row>
    <row r="69">
      <c r="A69" s="119"/>
      <c r="B69" s="195" t="s">
        <v>737</v>
      </c>
      <c r="C69" s="196"/>
      <c r="D69" s="197" t="s">
        <v>733</v>
      </c>
      <c r="E69" s="197" t="s">
        <v>738</v>
      </c>
      <c r="F69" s="197" t="s">
        <v>739</v>
      </c>
      <c r="G69" s="197" t="s">
        <v>740</v>
      </c>
      <c r="H69" s="179"/>
      <c r="I69" s="179"/>
      <c r="J69" s="201"/>
      <c r="K69" s="199"/>
      <c r="L69" s="182"/>
      <c r="M69" s="183"/>
      <c r="N69" s="119"/>
    </row>
    <row r="70">
      <c r="A70" s="119"/>
      <c r="B70" s="195" t="s">
        <v>741</v>
      </c>
      <c r="C70" s="196"/>
      <c r="D70" s="197" t="s">
        <v>733</v>
      </c>
      <c r="E70" s="197" t="s">
        <v>742</v>
      </c>
      <c r="F70" s="197" t="s">
        <v>743</v>
      </c>
      <c r="G70" s="197" t="s">
        <v>744</v>
      </c>
      <c r="H70" s="179"/>
      <c r="I70" s="179"/>
      <c r="J70" s="201"/>
      <c r="K70" s="199"/>
      <c r="L70" s="182"/>
      <c r="M70" s="183"/>
      <c r="N70" s="119"/>
    </row>
    <row r="71">
      <c r="A71" s="119"/>
      <c r="B71" s="195" t="s">
        <v>745</v>
      </c>
      <c r="C71" s="196"/>
      <c r="D71" s="197" t="s">
        <v>746</v>
      </c>
      <c r="E71" s="197" t="s">
        <v>747</v>
      </c>
      <c r="F71" s="197" t="s">
        <v>748</v>
      </c>
      <c r="G71" s="197" t="s">
        <v>749</v>
      </c>
      <c r="H71" s="179"/>
      <c r="I71" s="179"/>
      <c r="J71" s="201"/>
      <c r="K71" s="199"/>
      <c r="L71" s="182"/>
      <c r="M71" s="183"/>
      <c r="N71" s="119"/>
    </row>
    <row r="72">
      <c r="A72" s="119"/>
      <c r="B72" s="195" t="s">
        <v>750</v>
      </c>
      <c r="C72" s="196"/>
      <c r="D72" s="197" t="s">
        <v>746</v>
      </c>
      <c r="E72" s="197" t="s">
        <v>751</v>
      </c>
      <c r="F72" s="197" t="s">
        <v>752</v>
      </c>
      <c r="G72" s="197" t="s">
        <v>753</v>
      </c>
      <c r="H72" s="179"/>
      <c r="I72" s="179"/>
      <c r="J72" s="201"/>
      <c r="K72" s="199"/>
      <c r="L72" s="182"/>
      <c r="M72" s="183"/>
      <c r="N72" s="119"/>
    </row>
    <row r="73">
      <c r="A73" s="119"/>
      <c r="B73" s="195" t="s">
        <v>754</v>
      </c>
      <c r="C73" s="196"/>
      <c r="D73" s="197" t="s">
        <v>746</v>
      </c>
      <c r="E73" s="197" t="s">
        <v>755</v>
      </c>
      <c r="F73" s="197" t="s">
        <v>756</v>
      </c>
      <c r="G73" s="197" t="s">
        <v>757</v>
      </c>
      <c r="H73" s="179"/>
      <c r="I73" s="179"/>
      <c r="J73" s="201"/>
      <c r="K73" s="199"/>
      <c r="L73" s="182"/>
      <c r="M73" s="183"/>
      <c r="N73" s="119"/>
    </row>
    <row r="74">
      <c r="A74" s="119"/>
      <c r="B74" s="195" t="s">
        <v>758</v>
      </c>
      <c r="C74" s="196"/>
      <c r="D74" s="197"/>
      <c r="E74" s="179"/>
      <c r="F74" s="179"/>
      <c r="G74" s="179"/>
      <c r="H74" s="179"/>
      <c r="I74" s="179"/>
      <c r="J74" s="201"/>
      <c r="K74" s="199"/>
      <c r="L74" s="182"/>
      <c r="M74" s="183"/>
      <c r="N74" s="119"/>
    </row>
    <row r="75">
      <c r="A75" s="119"/>
      <c r="B75" s="195"/>
      <c r="C75" s="196"/>
      <c r="D75" s="197"/>
      <c r="E75" s="179"/>
      <c r="F75" s="179"/>
      <c r="G75" s="179"/>
      <c r="H75" s="179"/>
      <c r="I75" s="179"/>
      <c r="J75" s="201"/>
      <c r="K75" s="199"/>
      <c r="L75" s="182"/>
      <c r="M75" s="183"/>
      <c r="N75" s="119"/>
    </row>
    <row r="76">
      <c r="A76" s="119"/>
      <c r="B76" s="202"/>
      <c r="C76" s="196"/>
      <c r="D76" s="197"/>
      <c r="E76" s="179"/>
      <c r="F76" s="179"/>
      <c r="G76" s="179"/>
      <c r="H76" s="179"/>
      <c r="I76" s="179"/>
      <c r="J76" s="201"/>
      <c r="K76" s="199"/>
      <c r="L76" s="182"/>
      <c r="M76" s="183"/>
      <c r="N76" s="119"/>
    </row>
    <row r="77">
      <c r="A77" s="119"/>
      <c r="B77" s="202"/>
      <c r="C77" s="196"/>
      <c r="D77" s="197"/>
      <c r="E77" s="179"/>
      <c r="F77" s="179"/>
      <c r="G77" s="179"/>
      <c r="H77" s="179"/>
      <c r="I77" s="179"/>
      <c r="J77" s="201"/>
      <c r="K77" s="199"/>
      <c r="L77" s="182"/>
      <c r="M77" s="183"/>
      <c r="N77" s="119"/>
    </row>
    <row r="78">
      <c r="A78" s="119"/>
      <c r="B78" s="202"/>
      <c r="C78" s="196"/>
      <c r="D78" s="197"/>
      <c r="E78" s="179"/>
      <c r="F78" s="179"/>
      <c r="G78" s="179"/>
      <c r="H78" s="179"/>
      <c r="I78" s="179"/>
      <c r="J78" s="201"/>
      <c r="K78" s="199"/>
      <c r="L78" s="182"/>
      <c r="M78" s="183"/>
      <c r="N78" s="119"/>
    </row>
    <row r="79">
      <c r="A79" s="119"/>
      <c r="B79" s="202"/>
      <c r="C79" s="196"/>
      <c r="D79" s="197"/>
      <c r="E79" s="179"/>
      <c r="F79" s="179"/>
      <c r="G79" s="179"/>
      <c r="H79" s="179"/>
      <c r="I79" s="179"/>
      <c r="J79" s="201"/>
      <c r="K79" s="199"/>
      <c r="L79" s="182"/>
      <c r="M79" s="183"/>
      <c r="N79" s="119"/>
    </row>
    <row r="80">
      <c r="A80" s="119"/>
      <c r="B80" s="202"/>
      <c r="C80" s="196"/>
      <c r="D80" s="197"/>
      <c r="E80" s="179"/>
      <c r="F80" s="179"/>
      <c r="G80" s="179"/>
      <c r="H80" s="179"/>
      <c r="I80" s="179"/>
      <c r="J80" s="201"/>
      <c r="K80" s="199"/>
      <c r="L80" s="182"/>
      <c r="M80" s="183"/>
      <c r="N80" s="119"/>
    </row>
    <row r="81">
      <c r="A81" s="119"/>
      <c r="B81" s="202"/>
      <c r="C81" s="196"/>
      <c r="D81" s="197"/>
      <c r="E81" s="179"/>
      <c r="F81" s="179"/>
      <c r="G81" s="179"/>
      <c r="H81" s="179"/>
      <c r="I81" s="179"/>
      <c r="J81" s="201"/>
      <c r="K81" s="199"/>
      <c r="L81" s="182"/>
      <c r="M81" s="183"/>
      <c r="N81" s="119"/>
    </row>
    <row r="82">
      <c r="A82" s="119"/>
      <c r="B82" s="202"/>
      <c r="C82" s="196"/>
      <c r="D82" s="197"/>
      <c r="E82" s="179"/>
      <c r="F82" s="179"/>
      <c r="G82" s="179"/>
      <c r="H82" s="179"/>
      <c r="I82" s="179"/>
      <c r="J82" s="201"/>
      <c r="K82" s="199"/>
      <c r="L82" s="182"/>
      <c r="M82" s="183"/>
      <c r="N82" s="119"/>
    </row>
    <row r="83">
      <c r="A83" s="119"/>
      <c r="B83" s="202"/>
      <c r="C83" s="196"/>
      <c r="D83" s="197"/>
      <c r="E83" s="179"/>
      <c r="F83" s="179"/>
      <c r="G83" s="179"/>
      <c r="H83" s="179"/>
      <c r="I83" s="179"/>
      <c r="J83" s="201"/>
      <c r="K83" s="199"/>
      <c r="L83" s="182"/>
      <c r="M83" s="183"/>
      <c r="N83" s="119"/>
    </row>
    <row r="84">
      <c r="A84" s="119"/>
      <c r="B84" s="202"/>
      <c r="C84" s="196"/>
      <c r="D84" s="197"/>
      <c r="E84" s="179"/>
      <c r="F84" s="179"/>
      <c r="G84" s="179"/>
      <c r="H84" s="179"/>
      <c r="I84" s="179"/>
      <c r="J84" s="201"/>
      <c r="K84" s="199"/>
      <c r="L84" s="182"/>
      <c r="M84" s="183"/>
      <c r="N84" s="119"/>
    </row>
    <row r="85">
      <c r="A85" s="119"/>
      <c r="B85" s="202"/>
      <c r="C85" s="196"/>
      <c r="D85" s="197"/>
      <c r="E85" s="179"/>
      <c r="F85" s="179"/>
      <c r="G85" s="179"/>
      <c r="H85" s="179"/>
      <c r="I85" s="179"/>
      <c r="J85" s="201"/>
      <c r="K85" s="199"/>
      <c r="L85" s="182"/>
      <c r="M85" s="183"/>
      <c r="N85" s="119"/>
    </row>
    <row r="86">
      <c r="A86" s="119"/>
      <c r="B86" s="202"/>
      <c r="C86" s="196"/>
      <c r="D86" s="197"/>
      <c r="E86" s="179"/>
      <c r="F86" s="179"/>
      <c r="G86" s="179"/>
      <c r="H86" s="179"/>
      <c r="I86" s="179"/>
      <c r="J86" s="201"/>
      <c r="K86" s="199"/>
      <c r="L86" s="182"/>
      <c r="M86" s="183"/>
      <c r="N86" s="119"/>
    </row>
    <row r="87">
      <c r="A87" s="119"/>
      <c r="B87" s="202"/>
      <c r="C87" s="196"/>
      <c r="D87" s="197"/>
      <c r="E87" s="179"/>
      <c r="F87" s="179"/>
      <c r="G87" s="179"/>
      <c r="H87" s="179"/>
      <c r="I87" s="179"/>
      <c r="J87" s="201"/>
      <c r="K87" s="199"/>
      <c r="L87" s="182"/>
      <c r="M87" s="183"/>
      <c r="N87" s="119"/>
    </row>
    <row r="88">
      <c r="A88" s="119"/>
      <c r="B88" s="202"/>
      <c r="C88" s="196"/>
      <c r="D88" s="197"/>
      <c r="E88" s="179"/>
      <c r="F88" s="179"/>
      <c r="G88" s="179"/>
      <c r="H88" s="179"/>
      <c r="I88" s="179"/>
      <c r="J88" s="201"/>
      <c r="K88" s="199"/>
      <c r="L88" s="182"/>
      <c r="M88" s="183"/>
      <c r="N88" s="119"/>
    </row>
    <row r="89">
      <c r="A89" s="119"/>
      <c r="B89" s="202"/>
      <c r="C89" s="196"/>
      <c r="D89" s="197"/>
      <c r="E89" s="179"/>
      <c r="F89" s="179"/>
      <c r="G89" s="179"/>
      <c r="H89" s="179"/>
      <c r="I89" s="179"/>
      <c r="J89" s="201"/>
      <c r="K89" s="199"/>
      <c r="L89" s="182"/>
      <c r="M89" s="183"/>
      <c r="N89" s="119"/>
    </row>
    <row r="90">
      <c r="A90" s="119"/>
      <c r="B90" s="202"/>
      <c r="C90" s="196"/>
      <c r="D90" s="197"/>
      <c r="E90" s="179"/>
      <c r="F90" s="179"/>
      <c r="G90" s="179"/>
      <c r="H90" s="179"/>
      <c r="I90" s="179"/>
      <c r="J90" s="201"/>
      <c r="K90" s="199"/>
      <c r="L90" s="182"/>
      <c r="M90" s="183"/>
      <c r="N90" s="119"/>
    </row>
    <row r="91">
      <c r="A91" s="119"/>
      <c r="B91" s="202"/>
      <c r="C91" s="196"/>
      <c r="D91" s="197"/>
      <c r="E91" s="179"/>
      <c r="F91" s="179"/>
      <c r="G91" s="179"/>
      <c r="H91" s="179"/>
      <c r="I91" s="179"/>
      <c r="J91" s="201"/>
      <c r="K91" s="199"/>
      <c r="L91" s="182"/>
      <c r="M91" s="183"/>
      <c r="N91" s="119"/>
    </row>
    <row r="92">
      <c r="A92" s="119"/>
      <c r="B92" s="202"/>
      <c r="C92" s="196"/>
      <c r="D92" s="197"/>
      <c r="E92" s="179"/>
      <c r="F92" s="179"/>
      <c r="G92" s="179"/>
      <c r="H92" s="179"/>
      <c r="I92" s="179"/>
      <c r="J92" s="201"/>
      <c r="K92" s="199"/>
      <c r="L92" s="182"/>
      <c r="M92" s="183"/>
      <c r="N92" s="119"/>
    </row>
    <row r="93">
      <c r="A93" s="119"/>
      <c r="B93" s="202"/>
      <c r="C93" s="196"/>
      <c r="D93" s="197"/>
      <c r="E93" s="179"/>
      <c r="F93" s="179"/>
      <c r="G93" s="179"/>
      <c r="H93" s="179"/>
      <c r="I93" s="179"/>
      <c r="J93" s="201"/>
      <c r="K93" s="199"/>
      <c r="L93" s="182"/>
      <c r="M93" s="183"/>
      <c r="N93" s="119"/>
    </row>
    <row r="94">
      <c r="A94" s="119"/>
      <c r="B94" s="202"/>
      <c r="C94" s="196"/>
      <c r="D94" s="197"/>
      <c r="E94" s="179"/>
      <c r="F94" s="179"/>
      <c r="G94" s="179"/>
      <c r="H94" s="179"/>
      <c r="I94" s="179"/>
      <c r="J94" s="201"/>
      <c r="K94" s="199"/>
      <c r="L94" s="182"/>
      <c r="M94" s="183"/>
      <c r="N94" s="119"/>
    </row>
    <row r="95">
      <c r="A95" s="119"/>
      <c r="B95" s="202"/>
      <c r="C95" s="196"/>
      <c r="D95" s="197"/>
      <c r="E95" s="179"/>
      <c r="F95" s="179"/>
      <c r="G95" s="179"/>
      <c r="H95" s="179"/>
      <c r="I95" s="179"/>
      <c r="J95" s="201"/>
      <c r="K95" s="199"/>
      <c r="L95" s="182"/>
      <c r="M95" s="183"/>
      <c r="N95" s="119"/>
    </row>
    <row r="96">
      <c r="A96" s="119"/>
      <c r="B96" s="202"/>
      <c r="C96" s="196"/>
      <c r="D96" s="197"/>
      <c r="E96" s="179"/>
      <c r="F96" s="179"/>
      <c r="G96" s="179"/>
      <c r="H96" s="179"/>
      <c r="I96" s="179"/>
      <c r="J96" s="201"/>
      <c r="K96" s="199"/>
      <c r="L96" s="182"/>
      <c r="M96" s="183"/>
      <c r="N96" s="119"/>
    </row>
    <row r="97">
      <c r="A97" s="119"/>
      <c r="B97" s="202"/>
      <c r="C97" s="196"/>
      <c r="D97" s="197"/>
      <c r="E97" s="179"/>
      <c r="F97" s="179"/>
      <c r="G97" s="179"/>
      <c r="H97" s="179"/>
      <c r="I97" s="179"/>
      <c r="J97" s="201"/>
      <c r="K97" s="199"/>
      <c r="L97" s="182"/>
      <c r="M97" s="183"/>
      <c r="N97" s="119"/>
    </row>
    <row r="98">
      <c r="A98" s="119"/>
      <c r="B98" s="202"/>
      <c r="C98" s="196"/>
      <c r="D98" s="197"/>
      <c r="E98" s="179"/>
      <c r="F98" s="179"/>
      <c r="G98" s="179"/>
      <c r="H98" s="179"/>
      <c r="I98" s="179"/>
      <c r="J98" s="201"/>
      <c r="K98" s="199"/>
      <c r="L98" s="182"/>
      <c r="M98" s="183"/>
      <c r="N98" s="119"/>
    </row>
    <row r="99">
      <c r="A99" s="119"/>
      <c r="B99" s="202"/>
      <c r="C99" s="196"/>
      <c r="D99" s="197"/>
      <c r="E99" s="179"/>
      <c r="F99" s="179"/>
      <c r="G99" s="179"/>
      <c r="H99" s="179"/>
      <c r="I99" s="179"/>
      <c r="J99" s="201"/>
      <c r="K99" s="199"/>
      <c r="L99" s="182"/>
      <c r="M99" s="183"/>
      <c r="N99" s="119"/>
    </row>
    <row r="100">
      <c r="A100" s="119"/>
      <c r="B100" s="202"/>
      <c r="C100" s="196"/>
      <c r="D100" s="197"/>
      <c r="E100" s="179"/>
      <c r="F100" s="179"/>
      <c r="G100" s="179"/>
      <c r="H100" s="179"/>
      <c r="I100" s="179"/>
      <c r="J100" s="201"/>
      <c r="K100" s="199"/>
      <c r="L100" s="182"/>
      <c r="M100" s="183"/>
      <c r="N100" s="119"/>
    </row>
    <row r="101">
      <c r="A101" s="119"/>
      <c r="B101" s="202"/>
      <c r="C101" s="196"/>
      <c r="D101" s="197"/>
      <c r="E101" s="179"/>
      <c r="F101" s="179"/>
      <c r="G101" s="179"/>
      <c r="H101" s="179"/>
      <c r="I101" s="179"/>
      <c r="J101" s="201"/>
      <c r="K101" s="199"/>
      <c r="L101" s="182"/>
      <c r="M101" s="183"/>
      <c r="N101" s="119"/>
    </row>
    <row r="102">
      <c r="A102" s="119"/>
      <c r="B102" s="202"/>
      <c r="C102" s="196"/>
      <c r="D102" s="197"/>
      <c r="E102" s="179"/>
      <c r="F102" s="179"/>
      <c r="G102" s="179"/>
      <c r="H102" s="179"/>
      <c r="I102" s="179"/>
      <c r="J102" s="201"/>
      <c r="K102" s="199"/>
      <c r="L102" s="182"/>
      <c r="M102" s="183"/>
      <c r="N102" s="119"/>
    </row>
    <row r="103">
      <c r="A103" s="119"/>
      <c r="B103" s="202"/>
      <c r="C103" s="196"/>
      <c r="D103" s="197"/>
      <c r="E103" s="179"/>
      <c r="F103" s="179"/>
      <c r="G103" s="179"/>
      <c r="H103" s="179"/>
      <c r="I103" s="179"/>
      <c r="J103" s="201"/>
      <c r="K103" s="199"/>
      <c r="L103" s="182"/>
      <c r="M103" s="183"/>
      <c r="N103" s="119"/>
    </row>
    <row r="104">
      <c r="A104" s="119"/>
      <c r="B104" s="202"/>
      <c r="C104" s="196"/>
      <c r="D104" s="197"/>
      <c r="E104" s="179"/>
      <c r="F104" s="179"/>
      <c r="G104" s="179"/>
      <c r="H104" s="179"/>
      <c r="I104" s="179"/>
      <c r="J104" s="201"/>
      <c r="K104" s="199"/>
      <c r="L104" s="182"/>
      <c r="M104" s="183"/>
      <c r="N104" s="119"/>
    </row>
    <row r="105">
      <c r="A105" s="119"/>
      <c r="B105" s="202"/>
      <c r="C105" s="196"/>
      <c r="D105" s="197"/>
      <c r="E105" s="179"/>
      <c r="F105" s="179"/>
      <c r="G105" s="179"/>
      <c r="H105" s="179"/>
      <c r="I105" s="179"/>
      <c r="J105" s="201"/>
      <c r="K105" s="199"/>
      <c r="L105" s="182"/>
      <c r="M105" s="183"/>
      <c r="N105" s="119"/>
    </row>
    <row r="106">
      <c r="A106" s="119"/>
      <c r="B106" s="202"/>
      <c r="C106" s="196"/>
      <c r="D106" s="197"/>
      <c r="E106" s="179"/>
      <c r="F106" s="179"/>
      <c r="G106" s="179"/>
      <c r="H106" s="179"/>
      <c r="I106" s="179"/>
      <c r="J106" s="201"/>
      <c r="K106" s="199"/>
      <c r="L106" s="182"/>
      <c r="M106" s="183"/>
      <c r="N106" s="119"/>
    </row>
    <row r="107">
      <c r="A107" s="119"/>
      <c r="B107" s="202"/>
      <c r="C107" s="196"/>
      <c r="D107" s="197"/>
      <c r="E107" s="179"/>
      <c r="F107" s="179"/>
      <c r="G107" s="179"/>
      <c r="H107" s="179"/>
      <c r="I107" s="179"/>
      <c r="J107" s="201"/>
      <c r="K107" s="199"/>
      <c r="L107" s="182"/>
      <c r="M107" s="183"/>
      <c r="N107" s="119"/>
    </row>
    <row r="108">
      <c r="A108" s="119"/>
      <c r="B108" s="202"/>
      <c r="C108" s="196"/>
      <c r="D108" s="197"/>
      <c r="E108" s="179"/>
      <c r="F108" s="179"/>
      <c r="G108" s="179"/>
      <c r="H108" s="179"/>
      <c r="I108" s="179"/>
      <c r="J108" s="201"/>
      <c r="K108" s="199"/>
      <c r="L108" s="182"/>
      <c r="M108" s="183"/>
      <c r="N108" s="119"/>
    </row>
    <row r="109">
      <c r="A109" s="119"/>
      <c r="B109" s="202"/>
      <c r="C109" s="196"/>
      <c r="D109" s="197"/>
      <c r="E109" s="179"/>
      <c r="F109" s="179"/>
      <c r="G109" s="179"/>
      <c r="H109" s="179"/>
      <c r="I109" s="179"/>
      <c r="J109" s="201"/>
      <c r="K109" s="199"/>
      <c r="L109" s="182"/>
      <c r="M109" s="183"/>
      <c r="N109" s="119"/>
    </row>
    <row r="110">
      <c r="A110" s="119"/>
      <c r="B110" s="202"/>
      <c r="C110" s="196"/>
      <c r="D110" s="197"/>
      <c r="E110" s="179"/>
      <c r="F110" s="179"/>
      <c r="G110" s="179"/>
      <c r="H110" s="179"/>
      <c r="I110" s="179"/>
      <c r="J110" s="201"/>
      <c r="K110" s="199"/>
      <c r="L110" s="182"/>
      <c r="M110" s="183"/>
      <c r="N110" s="119"/>
    </row>
    <row r="111">
      <c r="A111" s="119"/>
      <c r="B111" s="202"/>
      <c r="C111" s="196"/>
      <c r="D111" s="197"/>
      <c r="E111" s="179"/>
      <c r="F111" s="179"/>
      <c r="G111" s="179"/>
      <c r="H111" s="179"/>
      <c r="I111" s="179"/>
      <c r="J111" s="201"/>
      <c r="K111" s="199"/>
      <c r="L111" s="182"/>
      <c r="M111" s="183"/>
      <c r="N111" s="119"/>
    </row>
    <row r="112">
      <c r="A112" s="119"/>
      <c r="B112" s="202"/>
      <c r="C112" s="196"/>
      <c r="D112" s="197"/>
      <c r="E112" s="179"/>
      <c r="F112" s="179"/>
      <c r="G112" s="179"/>
      <c r="H112" s="179"/>
      <c r="I112" s="179"/>
      <c r="J112" s="201"/>
      <c r="K112" s="199"/>
      <c r="L112" s="182"/>
      <c r="M112" s="183"/>
      <c r="N112" s="119"/>
    </row>
    <row r="113">
      <c r="A113" s="119"/>
      <c r="B113" s="202"/>
      <c r="C113" s="196"/>
      <c r="D113" s="197"/>
      <c r="E113" s="179"/>
      <c r="F113" s="179"/>
      <c r="G113" s="179"/>
      <c r="H113" s="179"/>
      <c r="I113" s="179"/>
      <c r="J113" s="201"/>
      <c r="K113" s="199"/>
      <c r="L113" s="182"/>
      <c r="M113" s="183"/>
      <c r="N113" s="119"/>
    </row>
    <row r="114">
      <c r="A114" s="119"/>
      <c r="B114" s="202"/>
      <c r="C114" s="196"/>
      <c r="D114" s="197"/>
      <c r="E114" s="179"/>
      <c r="F114" s="179"/>
      <c r="G114" s="179"/>
      <c r="H114" s="179"/>
      <c r="I114" s="179"/>
      <c r="J114" s="201"/>
      <c r="K114" s="199"/>
      <c r="L114" s="182"/>
      <c r="M114" s="183"/>
      <c r="N114" s="119"/>
    </row>
    <row r="115">
      <c r="A115" s="119"/>
      <c r="B115" s="202"/>
      <c r="C115" s="196"/>
      <c r="D115" s="197"/>
      <c r="E115" s="179"/>
      <c r="F115" s="179"/>
      <c r="G115" s="179"/>
      <c r="H115" s="179"/>
      <c r="I115" s="179"/>
      <c r="J115" s="201"/>
      <c r="K115" s="199"/>
      <c r="L115" s="182"/>
      <c r="M115" s="183"/>
      <c r="N115" s="119"/>
    </row>
    <row r="116">
      <c r="A116" s="119"/>
      <c r="B116" s="202"/>
      <c r="C116" s="196"/>
      <c r="D116" s="197"/>
      <c r="E116" s="179"/>
      <c r="F116" s="179"/>
      <c r="G116" s="179"/>
      <c r="H116" s="179"/>
      <c r="I116" s="179"/>
      <c r="J116" s="201"/>
      <c r="K116" s="199"/>
      <c r="L116" s="182"/>
      <c r="M116" s="183"/>
      <c r="N116" s="119"/>
    </row>
    <row r="117">
      <c r="A117" s="119"/>
      <c r="B117" s="202"/>
      <c r="C117" s="196"/>
      <c r="D117" s="197"/>
      <c r="E117" s="179"/>
      <c r="F117" s="179"/>
      <c r="G117" s="179"/>
      <c r="H117" s="179"/>
      <c r="I117" s="179"/>
      <c r="J117" s="201"/>
      <c r="K117" s="199"/>
      <c r="L117" s="182"/>
      <c r="M117" s="183"/>
      <c r="N117" s="119"/>
    </row>
    <row r="118">
      <c r="A118" s="119"/>
      <c r="B118" s="202"/>
      <c r="C118" s="196"/>
      <c r="D118" s="197"/>
      <c r="E118" s="179"/>
      <c r="F118" s="179"/>
      <c r="G118" s="179"/>
      <c r="H118" s="179"/>
      <c r="I118" s="179"/>
      <c r="J118" s="201"/>
      <c r="K118" s="199"/>
      <c r="L118" s="182"/>
      <c r="M118" s="183"/>
      <c r="N118" s="119"/>
    </row>
    <row r="119">
      <c r="A119" s="119"/>
      <c r="B119" s="202"/>
      <c r="C119" s="196"/>
      <c r="D119" s="197"/>
      <c r="E119" s="179"/>
      <c r="F119" s="179"/>
      <c r="G119" s="179"/>
      <c r="H119" s="179"/>
      <c r="I119" s="179"/>
      <c r="J119" s="201"/>
      <c r="K119" s="199"/>
      <c r="L119" s="182"/>
      <c r="M119" s="183"/>
      <c r="N119" s="119"/>
    </row>
    <row r="120">
      <c r="A120" s="119"/>
      <c r="B120" s="202"/>
      <c r="C120" s="196"/>
      <c r="D120" s="197"/>
      <c r="E120" s="179"/>
      <c r="F120" s="179"/>
      <c r="G120" s="179"/>
      <c r="H120" s="179"/>
      <c r="I120" s="179"/>
      <c r="J120" s="201"/>
      <c r="K120" s="199"/>
      <c r="L120" s="182"/>
      <c r="M120" s="183"/>
      <c r="N120" s="119"/>
    </row>
    <row r="121">
      <c r="A121" s="119"/>
      <c r="B121" s="202"/>
      <c r="C121" s="196"/>
      <c r="D121" s="197"/>
      <c r="E121" s="179"/>
      <c r="F121" s="179"/>
      <c r="G121" s="179"/>
      <c r="H121" s="179"/>
      <c r="I121" s="179"/>
      <c r="J121" s="201"/>
      <c r="K121" s="199"/>
      <c r="L121" s="182"/>
      <c r="M121" s="183"/>
      <c r="N121" s="119"/>
    </row>
    <row r="122">
      <c r="A122" s="119"/>
      <c r="B122" s="202"/>
      <c r="C122" s="196"/>
      <c r="D122" s="197"/>
      <c r="E122" s="179"/>
      <c r="F122" s="179"/>
      <c r="G122" s="179"/>
      <c r="H122" s="179"/>
      <c r="I122" s="179"/>
      <c r="J122" s="201"/>
      <c r="K122" s="199"/>
      <c r="L122" s="182"/>
      <c r="M122" s="183"/>
      <c r="N122" s="119"/>
    </row>
    <row r="123">
      <c r="A123" s="119"/>
      <c r="B123" s="202"/>
      <c r="C123" s="196"/>
      <c r="D123" s="197"/>
      <c r="E123" s="179"/>
      <c r="F123" s="179"/>
      <c r="G123" s="179"/>
      <c r="H123" s="179"/>
      <c r="I123" s="179"/>
      <c r="J123" s="201"/>
      <c r="K123" s="199"/>
      <c r="L123" s="182"/>
      <c r="M123" s="183"/>
      <c r="N123" s="119"/>
    </row>
    <row r="124">
      <c r="A124" s="119"/>
      <c r="B124" s="202"/>
      <c r="C124" s="196"/>
      <c r="D124" s="197"/>
      <c r="E124" s="179"/>
      <c r="F124" s="179"/>
      <c r="G124" s="179"/>
      <c r="H124" s="179"/>
      <c r="I124" s="179"/>
      <c r="J124" s="201"/>
      <c r="K124" s="199"/>
      <c r="L124" s="182"/>
      <c r="M124" s="183"/>
      <c r="N124" s="119"/>
    </row>
    <row r="125">
      <c r="A125" s="119"/>
      <c r="B125" s="202"/>
      <c r="C125" s="196"/>
      <c r="D125" s="197"/>
      <c r="E125" s="179"/>
      <c r="F125" s="179"/>
      <c r="G125" s="179"/>
      <c r="H125" s="179"/>
      <c r="I125" s="179"/>
      <c r="J125" s="201"/>
      <c r="K125" s="199"/>
      <c r="L125" s="182"/>
      <c r="M125" s="183"/>
      <c r="N125" s="119"/>
    </row>
    <row r="126">
      <c r="A126" s="119"/>
      <c r="B126" s="202"/>
      <c r="C126" s="196"/>
      <c r="D126" s="197"/>
      <c r="E126" s="179"/>
      <c r="F126" s="179"/>
      <c r="G126" s="179"/>
      <c r="H126" s="179"/>
      <c r="I126" s="179"/>
      <c r="J126" s="201"/>
      <c r="K126" s="199"/>
      <c r="L126" s="182"/>
      <c r="M126" s="183"/>
      <c r="N126" s="119"/>
    </row>
    <row r="127">
      <c r="A127" s="119"/>
      <c r="B127" s="202"/>
      <c r="C127" s="196"/>
      <c r="D127" s="197"/>
      <c r="E127" s="179"/>
      <c r="F127" s="179"/>
      <c r="G127" s="179"/>
      <c r="H127" s="179"/>
      <c r="I127" s="179"/>
      <c r="J127" s="201"/>
      <c r="K127" s="199"/>
      <c r="L127" s="182"/>
      <c r="M127" s="183"/>
      <c r="N127" s="119"/>
    </row>
    <row r="128">
      <c r="A128" s="119"/>
      <c r="B128" s="202"/>
      <c r="C128" s="196"/>
      <c r="D128" s="197"/>
      <c r="E128" s="179"/>
      <c r="F128" s="179"/>
      <c r="G128" s="179"/>
      <c r="H128" s="179"/>
      <c r="I128" s="179"/>
      <c r="J128" s="201"/>
      <c r="K128" s="199"/>
      <c r="L128" s="182"/>
      <c r="M128" s="183"/>
      <c r="N128" s="119"/>
    </row>
    <row r="129">
      <c r="A129" s="119"/>
      <c r="B129" s="202"/>
      <c r="C129" s="196"/>
      <c r="D129" s="197"/>
      <c r="E129" s="179"/>
      <c r="F129" s="179"/>
      <c r="G129" s="179"/>
      <c r="H129" s="179"/>
      <c r="I129" s="179"/>
      <c r="J129" s="201"/>
      <c r="K129" s="199"/>
      <c r="L129" s="182"/>
      <c r="M129" s="183"/>
      <c r="N129" s="119"/>
    </row>
    <row r="130">
      <c r="A130" s="119"/>
      <c r="B130" s="202"/>
      <c r="C130" s="196"/>
      <c r="D130" s="197"/>
      <c r="E130" s="179"/>
      <c r="F130" s="179"/>
      <c r="G130" s="179"/>
      <c r="H130" s="179"/>
      <c r="I130" s="179"/>
      <c r="J130" s="201"/>
      <c r="K130" s="199"/>
      <c r="L130" s="182"/>
      <c r="M130" s="183"/>
      <c r="N130" s="119"/>
    </row>
    <row r="131">
      <c r="A131" s="119"/>
      <c r="B131" s="202"/>
      <c r="C131" s="196"/>
      <c r="D131" s="197"/>
      <c r="E131" s="179"/>
      <c r="F131" s="179"/>
      <c r="G131" s="179"/>
      <c r="H131" s="179"/>
      <c r="I131" s="179"/>
      <c r="J131" s="201"/>
      <c r="K131" s="199"/>
      <c r="L131" s="182"/>
      <c r="M131" s="183"/>
      <c r="N131" s="119"/>
    </row>
    <row r="132">
      <c r="A132" s="119"/>
      <c r="B132" s="202"/>
      <c r="C132" s="196"/>
      <c r="D132" s="197"/>
      <c r="E132" s="179"/>
      <c r="F132" s="179"/>
      <c r="G132" s="179"/>
      <c r="H132" s="179"/>
      <c r="I132" s="179"/>
      <c r="J132" s="201"/>
      <c r="K132" s="199"/>
      <c r="L132" s="182"/>
      <c r="M132" s="183"/>
      <c r="N132" s="119"/>
    </row>
    <row r="133">
      <c r="A133" s="119"/>
      <c r="B133" s="202"/>
      <c r="C133" s="196"/>
      <c r="D133" s="197"/>
      <c r="E133" s="179"/>
      <c r="F133" s="179"/>
      <c r="G133" s="179"/>
      <c r="H133" s="179"/>
      <c r="I133" s="179"/>
      <c r="J133" s="201"/>
      <c r="K133" s="199"/>
      <c r="L133" s="182"/>
      <c r="M133" s="183"/>
      <c r="N133" s="119"/>
    </row>
    <row r="134">
      <c r="A134" s="119"/>
      <c r="B134" s="202"/>
      <c r="C134" s="196"/>
      <c r="D134" s="197"/>
      <c r="E134" s="179"/>
      <c r="F134" s="179"/>
      <c r="G134" s="179"/>
      <c r="H134" s="179"/>
      <c r="I134" s="179"/>
      <c r="J134" s="201"/>
      <c r="K134" s="199"/>
      <c r="L134" s="182"/>
      <c r="M134" s="183"/>
      <c r="N134" s="119"/>
    </row>
    <row r="135">
      <c r="A135" s="119"/>
      <c r="B135" s="202"/>
      <c r="C135" s="196"/>
      <c r="D135" s="197"/>
      <c r="E135" s="179"/>
      <c r="F135" s="179"/>
      <c r="G135" s="179"/>
      <c r="H135" s="179"/>
      <c r="I135" s="179"/>
      <c r="J135" s="201"/>
      <c r="K135" s="199"/>
      <c r="L135" s="182"/>
      <c r="M135" s="183"/>
      <c r="N135" s="119"/>
    </row>
    <row r="136">
      <c r="A136" s="119"/>
      <c r="B136" s="202"/>
      <c r="C136" s="196"/>
      <c r="D136" s="197"/>
      <c r="E136" s="179"/>
      <c r="F136" s="179"/>
      <c r="G136" s="179"/>
      <c r="H136" s="179"/>
      <c r="I136" s="179"/>
      <c r="J136" s="201"/>
      <c r="K136" s="199"/>
      <c r="L136" s="182"/>
      <c r="M136" s="183"/>
      <c r="N136" s="119"/>
    </row>
    <row r="137">
      <c r="A137" s="119"/>
      <c r="B137" s="202"/>
      <c r="C137" s="196"/>
      <c r="D137" s="197"/>
      <c r="E137" s="179"/>
      <c r="F137" s="179"/>
      <c r="G137" s="179"/>
      <c r="H137" s="179"/>
      <c r="I137" s="179"/>
      <c r="J137" s="201"/>
      <c r="K137" s="199"/>
      <c r="L137" s="182"/>
      <c r="M137" s="183"/>
      <c r="N137" s="119"/>
    </row>
    <row r="138">
      <c r="A138" s="119"/>
      <c r="B138" s="202"/>
      <c r="C138" s="196"/>
      <c r="D138" s="197"/>
      <c r="E138" s="179"/>
      <c r="F138" s="179"/>
      <c r="G138" s="179"/>
      <c r="H138" s="179"/>
      <c r="I138" s="179"/>
      <c r="J138" s="201"/>
      <c r="K138" s="199"/>
      <c r="L138" s="182"/>
      <c r="M138" s="183"/>
      <c r="N138" s="119"/>
    </row>
    <row r="139">
      <c r="A139" s="119"/>
      <c r="B139" s="202"/>
      <c r="C139" s="196"/>
      <c r="D139" s="197"/>
      <c r="E139" s="179"/>
      <c r="F139" s="179"/>
      <c r="G139" s="179"/>
      <c r="H139" s="179"/>
      <c r="I139" s="179"/>
      <c r="J139" s="201"/>
      <c r="K139" s="199"/>
      <c r="L139" s="182"/>
      <c r="M139" s="183"/>
      <c r="N139" s="119"/>
    </row>
    <row r="140">
      <c r="A140" s="119"/>
      <c r="B140" s="202"/>
      <c r="C140" s="196"/>
      <c r="D140" s="197"/>
      <c r="E140" s="179"/>
      <c r="F140" s="179"/>
      <c r="G140" s="179"/>
      <c r="H140" s="179"/>
      <c r="I140" s="179"/>
      <c r="J140" s="201"/>
      <c r="K140" s="199"/>
      <c r="L140" s="182"/>
      <c r="M140" s="183"/>
      <c r="N140" s="119"/>
    </row>
    <row r="141">
      <c r="A141" s="119"/>
      <c r="B141" s="202"/>
      <c r="C141" s="196"/>
      <c r="D141" s="197"/>
      <c r="E141" s="179"/>
      <c r="F141" s="179"/>
      <c r="G141" s="179"/>
      <c r="H141" s="179"/>
      <c r="I141" s="179"/>
      <c r="J141" s="201"/>
      <c r="K141" s="199"/>
      <c r="L141" s="182"/>
      <c r="M141" s="183"/>
      <c r="N141" s="119"/>
    </row>
    <row r="142">
      <c r="A142" s="119"/>
      <c r="B142" s="202"/>
      <c r="C142" s="196"/>
      <c r="D142" s="197"/>
      <c r="E142" s="179"/>
      <c r="F142" s="179"/>
      <c r="G142" s="179"/>
      <c r="H142" s="179"/>
      <c r="I142" s="179"/>
      <c r="J142" s="201"/>
      <c r="K142" s="199"/>
      <c r="L142" s="182"/>
      <c r="M142" s="183"/>
      <c r="N142" s="119"/>
    </row>
    <row r="143">
      <c r="A143" s="119"/>
      <c r="B143" s="202"/>
      <c r="C143" s="196"/>
      <c r="D143" s="197"/>
      <c r="E143" s="179"/>
      <c r="F143" s="179"/>
      <c r="G143" s="179"/>
      <c r="H143" s="179"/>
      <c r="I143" s="179"/>
      <c r="J143" s="201"/>
      <c r="K143" s="199"/>
      <c r="L143" s="182"/>
      <c r="M143" s="183"/>
      <c r="N143" s="119"/>
    </row>
    <row r="144">
      <c r="A144" s="119"/>
      <c r="B144" s="202"/>
      <c r="C144" s="196"/>
      <c r="D144" s="197"/>
      <c r="E144" s="179"/>
      <c r="F144" s="179"/>
      <c r="G144" s="179"/>
      <c r="H144" s="179"/>
      <c r="I144" s="179"/>
      <c r="J144" s="201"/>
      <c r="K144" s="199"/>
      <c r="L144" s="182"/>
      <c r="M144" s="183"/>
      <c r="N144" s="119"/>
    </row>
    <row r="145">
      <c r="A145" s="119"/>
      <c r="B145" s="202"/>
      <c r="C145" s="196"/>
      <c r="D145" s="197"/>
      <c r="E145" s="179"/>
      <c r="F145" s="179"/>
      <c r="G145" s="179"/>
      <c r="H145" s="179"/>
      <c r="I145" s="179"/>
      <c r="J145" s="201"/>
      <c r="K145" s="199"/>
      <c r="L145" s="182"/>
      <c r="M145" s="183"/>
      <c r="N145" s="119"/>
    </row>
    <row r="146">
      <c r="A146" s="119"/>
      <c r="B146" s="202"/>
      <c r="C146" s="196"/>
      <c r="D146" s="197"/>
      <c r="E146" s="179"/>
      <c r="F146" s="179"/>
      <c r="G146" s="179"/>
      <c r="H146" s="179"/>
      <c r="I146" s="179"/>
      <c r="J146" s="201"/>
      <c r="K146" s="199"/>
      <c r="L146" s="182"/>
      <c r="M146" s="183"/>
      <c r="N146" s="119"/>
    </row>
    <row r="147">
      <c r="A147" s="119"/>
      <c r="B147" s="202"/>
      <c r="C147" s="196"/>
      <c r="D147" s="197"/>
      <c r="E147" s="179"/>
      <c r="F147" s="179"/>
      <c r="G147" s="179"/>
      <c r="H147" s="179"/>
      <c r="I147" s="179"/>
      <c r="J147" s="201"/>
      <c r="K147" s="199"/>
      <c r="L147" s="182"/>
      <c r="M147" s="183"/>
      <c r="N147" s="119"/>
    </row>
    <row r="148">
      <c r="A148" s="119"/>
      <c r="B148" s="202"/>
      <c r="C148" s="196"/>
      <c r="D148" s="197"/>
      <c r="E148" s="179"/>
      <c r="F148" s="179"/>
      <c r="G148" s="179"/>
      <c r="H148" s="179"/>
      <c r="I148" s="179"/>
      <c r="J148" s="201"/>
      <c r="K148" s="199"/>
      <c r="L148" s="182"/>
      <c r="M148" s="183"/>
      <c r="N148" s="119"/>
    </row>
    <row r="149">
      <c r="A149" s="119"/>
      <c r="B149" s="202"/>
      <c r="C149" s="196"/>
      <c r="D149" s="197"/>
      <c r="E149" s="179"/>
      <c r="F149" s="179"/>
      <c r="G149" s="179"/>
      <c r="H149" s="179"/>
      <c r="I149" s="179"/>
      <c r="J149" s="201"/>
      <c r="K149" s="199"/>
      <c r="L149" s="182"/>
      <c r="M149" s="183"/>
      <c r="N149" s="119"/>
    </row>
    <row r="150">
      <c r="A150" s="119"/>
      <c r="B150" s="202"/>
      <c r="C150" s="196"/>
      <c r="D150" s="197"/>
      <c r="E150" s="179"/>
      <c r="F150" s="179"/>
      <c r="G150" s="179"/>
      <c r="H150" s="179"/>
      <c r="I150" s="179"/>
      <c r="J150" s="201"/>
      <c r="K150" s="199"/>
      <c r="L150" s="182"/>
      <c r="M150" s="183"/>
      <c r="N150" s="119"/>
    </row>
    <row r="151">
      <c r="A151" s="119"/>
      <c r="B151" s="202"/>
      <c r="C151" s="196"/>
      <c r="D151" s="197"/>
      <c r="E151" s="179"/>
      <c r="F151" s="179"/>
      <c r="G151" s="179"/>
      <c r="H151" s="179"/>
      <c r="I151" s="179"/>
      <c r="J151" s="201"/>
      <c r="K151" s="199"/>
      <c r="L151" s="182"/>
      <c r="M151" s="183"/>
      <c r="N151" s="119"/>
    </row>
    <row r="152">
      <c r="A152" s="119"/>
      <c r="B152" s="202"/>
      <c r="C152" s="196"/>
      <c r="D152" s="197"/>
      <c r="E152" s="179"/>
      <c r="F152" s="179"/>
      <c r="G152" s="179"/>
      <c r="H152" s="179"/>
      <c r="I152" s="179"/>
      <c r="J152" s="201"/>
      <c r="K152" s="199"/>
      <c r="L152" s="182"/>
      <c r="M152" s="183"/>
      <c r="N152" s="119"/>
    </row>
    <row r="153">
      <c r="A153" s="119"/>
      <c r="B153" s="202"/>
      <c r="C153" s="196"/>
      <c r="D153" s="197"/>
      <c r="E153" s="179"/>
      <c r="F153" s="179"/>
      <c r="G153" s="179"/>
      <c r="H153" s="179"/>
      <c r="I153" s="179"/>
      <c r="J153" s="201"/>
      <c r="K153" s="199"/>
      <c r="L153" s="182"/>
      <c r="M153" s="183"/>
      <c r="N153" s="119"/>
    </row>
    <row r="154">
      <c r="A154" s="119"/>
      <c r="B154" s="202"/>
      <c r="C154" s="196"/>
      <c r="D154" s="197"/>
      <c r="E154" s="179"/>
      <c r="F154" s="179"/>
      <c r="G154" s="179"/>
      <c r="H154" s="179"/>
      <c r="I154" s="179"/>
      <c r="J154" s="201"/>
      <c r="K154" s="199"/>
      <c r="L154" s="182"/>
      <c r="M154" s="183"/>
      <c r="N154" s="119"/>
    </row>
    <row r="155">
      <c r="A155" s="119"/>
      <c r="B155" s="202"/>
      <c r="C155" s="196"/>
      <c r="D155" s="197"/>
      <c r="E155" s="179"/>
      <c r="F155" s="179"/>
      <c r="G155" s="179"/>
      <c r="H155" s="179"/>
      <c r="I155" s="179"/>
      <c r="J155" s="201"/>
      <c r="K155" s="199"/>
      <c r="L155" s="182"/>
      <c r="M155" s="183"/>
      <c r="N155" s="119"/>
    </row>
    <row r="156">
      <c r="A156" s="119"/>
      <c r="B156" s="202"/>
      <c r="C156" s="196"/>
      <c r="D156" s="197"/>
      <c r="E156" s="179"/>
      <c r="F156" s="179"/>
      <c r="G156" s="179"/>
      <c r="H156" s="179"/>
      <c r="I156" s="179"/>
      <c r="J156" s="201"/>
      <c r="K156" s="199"/>
      <c r="L156" s="182"/>
      <c r="M156" s="183"/>
      <c r="N156" s="119"/>
    </row>
    <row r="157">
      <c r="A157" s="119"/>
      <c r="B157" s="202"/>
      <c r="C157" s="196"/>
      <c r="D157" s="197"/>
      <c r="E157" s="179"/>
      <c r="F157" s="179"/>
      <c r="G157" s="179"/>
      <c r="H157" s="179"/>
      <c r="I157" s="179"/>
      <c r="J157" s="201"/>
      <c r="K157" s="199"/>
      <c r="L157" s="182"/>
      <c r="M157" s="183"/>
      <c r="N157" s="119"/>
    </row>
    <row r="158">
      <c r="A158" s="119"/>
      <c r="B158" s="202"/>
      <c r="C158" s="196"/>
      <c r="D158" s="197"/>
      <c r="E158" s="179"/>
      <c r="F158" s="179"/>
      <c r="G158" s="179"/>
      <c r="H158" s="179"/>
      <c r="I158" s="179"/>
      <c r="J158" s="201"/>
      <c r="K158" s="199"/>
      <c r="L158" s="182"/>
      <c r="M158" s="183"/>
      <c r="N158" s="119"/>
    </row>
    <row r="159">
      <c r="A159" s="119"/>
      <c r="B159" s="202"/>
      <c r="C159" s="196"/>
      <c r="D159" s="197"/>
      <c r="E159" s="179"/>
      <c r="F159" s="179"/>
      <c r="G159" s="179"/>
      <c r="H159" s="179"/>
      <c r="I159" s="179"/>
      <c r="J159" s="201"/>
      <c r="K159" s="199"/>
      <c r="L159" s="182"/>
      <c r="M159" s="183"/>
      <c r="N159" s="119"/>
    </row>
    <row r="160">
      <c r="A160" s="119"/>
      <c r="B160" s="202"/>
      <c r="C160" s="196"/>
      <c r="D160" s="197"/>
      <c r="E160" s="179"/>
      <c r="F160" s="179"/>
      <c r="G160" s="179"/>
      <c r="H160" s="179"/>
      <c r="I160" s="179"/>
      <c r="J160" s="201"/>
      <c r="K160" s="199"/>
      <c r="L160" s="182"/>
      <c r="M160" s="183"/>
      <c r="N160" s="119"/>
    </row>
    <row r="161">
      <c r="A161" s="119"/>
      <c r="B161" s="202"/>
      <c r="C161" s="196"/>
      <c r="D161" s="197"/>
      <c r="E161" s="179"/>
      <c r="F161" s="179"/>
      <c r="G161" s="179"/>
      <c r="H161" s="179"/>
      <c r="I161" s="179"/>
      <c r="J161" s="201"/>
      <c r="K161" s="199"/>
      <c r="L161" s="182"/>
      <c r="M161" s="183"/>
      <c r="N161" s="119"/>
    </row>
    <row r="162">
      <c r="A162" s="119"/>
      <c r="B162" s="202"/>
      <c r="C162" s="196"/>
      <c r="D162" s="197"/>
      <c r="E162" s="179"/>
      <c r="F162" s="179"/>
      <c r="G162" s="179"/>
      <c r="H162" s="179"/>
      <c r="I162" s="179"/>
      <c r="J162" s="201"/>
      <c r="K162" s="199"/>
      <c r="L162" s="182"/>
      <c r="M162" s="183"/>
      <c r="N162" s="119"/>
    </row>
    <row r="163">
      <c r="A163" s="119"/>
      <c r="B163" s="202"/>
      <c r="C163" s="196"/>
      <c r="D163" s="197"/>
      <c r="E163" s="179"/>
      <c r="F163" s="179"/>
      <c r="G163" s="179"/>
      <c r="H163" s="179"/>
      <c r="I163" s="179"/>
      <c r="J163" s="201"/>
      <c r="K163" s="199"/>
      <c r="L163" s="182"/>
      <c r="M163" s="183"/>
      <c r="N163" s="119"/>
    </row>
    <row r="164">
      <c r="A164" s="119"/>
      <c r="B164" s="202"/>
      <c r="C164" s="196"/>
      <c r="D164" s="197"/>
      <c r="E164" s="179"/>
      <c r="F164" s="179"/>
      <c r="G164" s="179"/>
      <c r="H164" s="179"/>
      <c r="I164" s="179"/>
      <c r="J164" s="201"/>
      <c r="K164" s="199"/>
      <c r="L164" s="182"/>
      <c r="M164" s="183"/>
      <c r="N164" s="119"/>
    </row>
    <row r="165">
      <c r="A165" s="119"/>
      <c r="B165" s="202"/>
      <c r="C165" s="196"/>
      <c r="D165" s="197"/>
      <c r="E165" s="179"/>
      <c r="F165" s="179"/>
      <c r="G165" s="179"/>
      <c r="H165" s="179"/>
      <c r="I165" s="179"/>
      <c r="J165" s="201"/>
      <c r="K165" s="199"/>
      <c r="L165" s="182"/>
      <c r="M165" s="183"/>
      <c r="N165" s="119"/>
    </row>
    <row r="166">
      <c r="A166" s="119"/>
      <c r="B166" s="202"/>
      <c r="C166" s="196"/>
      <c r="D166" s="197"/>
      <c r="E166" s="179"/>
      <c r="F166" s="179"/>
      <c r="G166" s="179"/>
      <c r="H166" s="179"/>
      <c r="I166" s="179"/>
      <c r="J166" s="201"/>
      <c r="K166" s="199"/>
      <c r="L166" s="182"/>
      <c r="M166" s="183"/>
      <c r="N166" s="119"/>
    </row>
    <row r="167">
      <c r="A167" s="119"/>
      <c r="B167" s="202"/>
      <c r="C167" s="196"/>
      <c r="D167" s="197"/>
      <c r="E167" s="179"/>
      <c r="F167" s="179"/>
      <c r="G167" s="179"/>
      <c r="H167" s="179"/>
      <c r="I167" s="179"/>
      <c r="J167" s="201"/>
      <c r="K167" s="199"/>
      <c r="L167" s="182"/>
      <c r="M167" s="183"/>
      <c r="N167" s="119"/>
    </row>
    <row r="168">
      <c r="A168" s="119"/>
      <c r="B168" s="202"/>
      <c r="C168" s="196"/>
      <c r="D168" s="197"/>
      <c r="E168" s="179"/>
      <c r="F168" s="179"/>
      <c r="G168" s="179"/>
      <c r="H168" s="179"/>
      <c r="I168" s="179"/>
      <c r="J168" s="201"/>
      <c r="K168" s="199"/>
      <c r="L168" s="182"/>
      <c r="M168" s="183"/>
      <c r="N168" s="119"/>
    </row>
    <row r="169">
      <c r="A169" s="119"/>
      <c r="B169" s="202"/>
      <c r="C169" s="196"/>
      <c r="D169" s="197"/>
      <c r="E169" s="179"/>
      <c r="F169" s="179"/>
      <c r="G169" s="179"/>
      <c r="H169" s="179"/>
      <c r="I169" s="179"/>
      <c r="J169" s="201"/>
      <c r="K169" s="199"/>
      <c r="L169" s="182"/>
      <c r="M169" s="183"/>
      <c r="N169" s="119"/>
    </row>
    <row r="170">
      <c r="A170" s="119"/>
      <c r="B170" s="202"/>
      <c r="C170" s="196"/>
      <c r="D170" s="197"/>
      <c r="E170" s="179"/>
      <c r="F170" s="179"/>
      <c r="G170" s="179"/>
      <c r="H170" s="179"/>
      <c r="I170" s="179"/>
      <c r="J170" s="201"/>
      <c r="K170" s="199"/>
      <c r="L170" s="182"/>
      <c r="M170" s="183"/>
      <c r="N170" s="119"/>
    </row>
    <row r="171">
      <c r="A171" s="119"/>
      <c r="B171" s="202"/>
      <c r="C171" s="196"/>
      <c r="D171" s="197"/>
      <c r="E171" s="179"/>
      <c r="F171" s="179"/>
      <c r="G171" s="179"/>
      <c r="H171" s="179"/>
      <c r="I171" s="179"/>
      <c r="J171" s="201"/>
      <c r="K171" s="199"/>
      <c r="L171" s="182"/>
      <c r="M171" s="183"/>
      <c r="N171" s="119"/>
    </row>
    <row r="172">
      <c r="A172" s="119"/>
      <c r="B172" s="202"/>
      <c r="C172" s="196"/>
      <c r="D172" s="197"/>
      <c r="E172" s="179"/>
      <c r="F172" s="179"/>
      <c r="G172" s="179"/>
      <c r="H172" s="179"/>
      <c r="I172" s="179"/>
      <c r="J172" s="201"/>
      <c r="K172" s="199"/>
      <c r="L172" s="182"/>
      <c r="M172" s="183"/>
      <c r="N172" s="119"/>
    </row>
    <row r="173">
      <c r="A173" s="119"/>
      <c r="B173" s="202"/>
      <c r="C173" s="196"/>
      <c r="D173" s="197"/>
      <c r="E173" s="179"/>
      <c r="F173" s="179"/>
      <c r="G173" s="179"/>
      <c r="H173" s="179"/>
      <c r="I173" s="179"/>
      <c r="J173" s="201"/>
      <c r="K173" s="199"/>
      <c r="L173" s="182"/>
      <c r="M173" s="183"/>
      <c r="N173" s="119"/>
    </row>
    <row r="174">
      <c r="A174" s="119"/>
      <c r="B174" s="202"/>
      <c r="C174" s="196"/>
      <c r="D174" s="197"/>
      <c r="E174" s="179"/>
      <c r="F174" s="179"/>
      <c r="G174" s="179"/>
      <c r="H174" s="179"/>
      <c r="I174" s="179"/>
      <c r="J174" s="201"/>
      <c r="K174" s="199"/>
      <c r="L174" s="182"/>
      <c r="M174" s="183"/>
      <c r="N174" s="119"/>
    </row>
    <row r="175">
      <c r="A175" s="119"/>
      <c r="B175" s="202"/>
      <c r="C175" s="196"/>
      <c r="D175" s="197"/>
      <c r="E175" s="179"/>
      <c r="F175" s="179"/>
      <c r="G175" s="179"/>
      <c r="H175" s="179"/>
      <c r="I175" s="179"/>
      <c r="J175" s="201"/>
      <c r="K175" s="199"/>
      <c r="L175" s="182"/>
      <c r="M175" s="183"/>
      <c r="N175" s="119"/>
    </row>
    <row r="176">
      <c r="A176" s="119"/>
      <c r="B176" s="202"/>
      <c r="C176" s="196"/>
      <c r="D176" s="197"/>
      <c r="E176" s="179"/>
      <c r="F176" s="179"/>
      <c r="G176" s="179"/>
      <c r="H176" s="179"/>
      <c r="I176" s="179"/>
      <c r="J176" s="201"/>
      <c r="K176" s="199"/>
      <c r="L176" s="182"/>
      <c r="M176" s="183"/>
      <c r="N176" s="119"/>
    </row>
    <row r="177">
      <c r="A177" s="119"/>
      <c r="B177" s="202"/>
      <c r="C177" s="196"/>
      <c r="D177" s="197"/>
      <c r="E177" s="179"/>
      <c r="F177" s="179"/>
      <c r="G177" s="179"/>
      <c r="H177" s="179"/>
      <c r="I177" s="179"/>
      <c r="J177" s="201"/>
      <c r="K177" s="199"/>
      <c r="L177" s="182"/>
      <c r="M177" s="183"/>
      <c r="N177" s="119"/>
    </row>
    <row r="178">
      <c r="A178" s="119"/>
      <c r="B178" s="202"/>
      <c r="C178" s="196"/>
      <c r="D178" s="197"/>
      <c r="E178" s="179"/>
      <c r="F178" s="179"/>
      <c r="G178" s="179"/>
      <c r="H178" s="179"/>
      <c r="I178" s="179"/>
      <c r="J178" s="201"/>
      <c r="K178" s="199"/>
      <c r="L178" s="182"/>
      <c r="M178" s="183"/>
      <c r="N178" s="119"/>
    </row>
    <row r="179">
      <c r="A179" s="119"/>
      <c r="B179" s="202"/>
      <c r="C179" s="196"/>
      <c r="D179" s="197"/>
      <c r="E179" s="179"/>
      <c r="F179" s="179"/>
      <c r="G179" s="179"/>
      <c r="H179" s="179"/>
      <c r="I179" s="179"/>
      <c r="J179" s="201"/>
      <c r="K179" s="199"/>
      <c r="L179" s="182"/>
      <c r="M179" s="183"/>
      <c r="N179" s="119"/>
    </row>
    <row r="180">
      <c r="A180" s="119"/>
      <c r="B180" s="202"/>
      <c r="C180" s="196"/>
      <c r="D180" s="197"/>
      <c r="E180" s="179"/>
      <c r="F180" s="179"/>
      <c r="G180" s="179"/>
      <c r="H180" s="179"/>
      <c r="I180" s="179"/>
      <c r="J180" s="201"/>
      <c r="K180" s="199"/>
      <c r="L180" s="182"/>
      <c r="M180" s="183"/>
      <c r="N180" s="119"/>
    </row>
    <row r="181">
      <c r="A181" s="119"/>
      <c r="B181" s="202"/>
      <c r="C181" s="196"/>
      <c r="D181" s="197"/>
      <c r="E181" s="179"/>
      <c r="F181" s="179"/>
      <c r="G181" s="179"/>
      <c r="H181" s="179"/>
      <c r="I181" s="179"/>
      <c r="J181" s="201"/>
      <c r="K181" s="199"/>
      <c r="L181" s="182"/>
      <c r="M181" s="183"/>
      <c r="N181" s="119"/>
    </row>
    <row r="182">
      <c r="A182" s="119"/>
      <c r="B182" s="202"/>
      <c r="C182" s="196"/>
      <c r="D182" s="197"/>
      <c r="E182" s="179"/>
      <c r="F182" s="179"/>
      <c r="G182" s="179"/>
      <c r="H182" s="179"/>
      <c r="I182" s="179"/>
      <c r="J182" s="201"/>
      <c r="K182" s="199"/>
      <c r="L182" s="182"/>
      <c r="M182" s="183"/>
      <c r="N182" s="119"/>
    </row>
    <row r="183">
      <c r="A183" s="119"/>
      <c r="B183" s="202"/>
      <c r="C183" s="196"/>
      <c r="D183" s="197"/>
      <c r="E183" s="179"/>
      <c r="F183" s="179"/>
      <c r="G183" s="179"/>
      <c r="H183" s="179"/>
      <c r="I183" s="179"/>
      <c r="J183" s="201"/>
      <c r="K183" s="199"/>
      <c r="L183" s="182"/>
      <c r="M183" s="183"/>
      <c r="N183" s="119"/>
    </row>
    <row r="184">
      <c r="A184" s="119"/>
      <c r="B184" s="202"/>
      <c r="C184" s="196"/>
      <c r="D184" s="197"/>
      <c r="E184" s="179"/>
      <c r="F184" s="179"/>
      <c r="G184" s="179"/>
      <c r="H184" s="179"/>
      <c r="I184" s="179"/>
      <c r="J184" s="201"/>
      <c r="K184" s="199"/>
      <c r="L184" s="182"/>
      <c r="M184" s="183"/>
      <c r="N184" s="119"/>
    </row>
    <row r="185">
      <c r="A185" s="119"/>
      <c r="B185" s="202"/>
      <c r="C185" s="196"/>
      <c r="D185" s="197"/>
      <c r="E185" s="179"/>
      <c r="F185" s="179"/>
      <c r="G185" s="179"/>
      <c r="H185" s="179"/>
      <c r="I185" s="179"/>
      <c r="J185" s="201"/>
      <c r="K185" s="199"/>
      <c r="L185" s="182"/>
      <c r="M185" s="183"/>
      <c r="N185" s="119"/>
    </row>
    <row r="186">
      <c r="A186" s="119"/>
      <c r="B186" s="202"/>
      <c r="C186" s="196"/>
      <c r="D186" s="197"/>
      <c r="E186" s="179"/>
      <c r="F186" s="179"/>
      <c r="G186" s="179"/>
      <c r="H186" s="179"/>
      <c r="I186" s="179"/>
      <c r="J186" s="201"/>
      <c r="K186" s="199"/>
      <c r="L186" s="182"/>
      <c r="M186" s="183"/>
      <c r="N186" s="119"/>
    </row>
    <row r="187">
      <c r="A187" s="119"/>
      <c r="B187" s="202"/>
      <c r="C187" s="196"/>
      <c r="D187" s="197"/>
      <c r="E187" s="179"/>
      <c r="F187" s="179"/>
      <c r="G187" s="179"/>
      <c r="H187" s="179"/>
      <c r="I187" s="179"/>
      <c r="J187" s="201"/>
      <c r="K187" s="199"/>
      <c r="L187" s="182"/>
      <c r="M187" s="183"/>
      <c r="N187" s="119"/>
    </row>
    <row r="188">
      <c r="A188" s="119"/>
      <c r="B188" s="202"/>
      <c r="C188" s="196"/>
      <c r="D188" s="197"/>
      <c r="E188" s="179"/>
      <c r="F188" s="179"/>
      <c r="G188" s="179"/>
      <c r="H188" s="179"/>
      <c r="I188" s="179"/>
      <c r="J188" s="201"/>
      <c r="K188" s="199"/>
      <c r="L188" s="182"/>
      <c r="M188" s="183"/>
      <c r="N188" s="119"/>
    </row>
    <row r="189">
      <c r="A189" s="119"/>
      <c r="B189" s="202"/>
      <c r="C189" s="196"/>
      <c r="D189" s="197"/>
      <c r="E189" s="179"/>
      <c r="F189" s="179"/>
      <c r="G189" s="179"/>
      <c r="H189" s="179"/>
      <c r="I189" s="179"/>
      <c r="J189" s="201"/>
      <c r="K189" s="199"/>
      <c r="L189" s="182"/>
      <c r="M189" s="183"/>
      <c r="N189" s="119"/>
    </row>
    <row r="190">
      <c r="A190" s="119"/>
      <c r="B190" s="202"/>
      <c r="C190" s="196"/>
      <c r="D190" s="197"/>
      <c r="E190" s="179"/>
      <c r="F190" s="179"/>
      <c r="G190" s="179"/>
      <c r="H190" s="179"/>
      <c r="I190" s="179"/>
      <c r="J190" s="201"/>
      <c r="K190" s="199"/>
      <c r="L190" s="182"/>
      <c r="M190" s="183"/>
      <c r="N190" s="119"/>
    </row>
    <row r="191">
      <c r="A191" s="119"/>
      <c r="B191" s="202"/>
      <c r="C191" s="196"/>
      <c r="D191" s="197"/>
      <c r="E191" s="179"/>
      <c r="F191" s="179"/>
      <c r="G191" s="179"/>
      <c r="H191" s="179"/>
      <c r="I191" s="179"/>
      <c r="J191" s="201"/>
      <c r="K191" s="199"/>
      <c r="L191" s="182"/>
      <c r="M191" s="183"/>
      <c r="N191" s="119"/>
    </row>
    <row r="192">
      <c r="A192" s="119"/>
      <c r="B192" s="202"/>
      <c r="C192" s="196"/>
      <c r="D192" s="197"/>
      <c r="E192" s="179"/>
      <c r="F192" s="179"/>
      <c r="G192" s="179"/>
      <c r="H192" s="179"/>
      <c r="I192" s="179"/>
      <c r="J192" s="201"/>
      <c r="K192" s="199"/>
      <c r="L192" s="182"/>
      <c r="M192" s="183"/>
      <c r="N192" s="119"/>
    </row>
    <row r="193">
      <c r="A193" s="119"/>
      <c r="B193" s="202"/>
      <c r="C193" s="196"/>
      <c r="D193" s="197"/>
      <c r="E193" s="179"/>
      <c r="F193" s="179"/>
      <c r="G193" s="179"/>
      <c r="H193" s="179"/>
      <c r="I193" s="179"/>
      <c r="J193" s="201"/>
      <c r="K193" s="199"/>
      <c r="L193" s="182"/>
      <c r="M193" s="183"/>
      <c r="N193" s="119"/>
    </row>
    <row r="194">
      <c r="A194" s="119"/>
      <c r="B194" s="202"/>
      <c r="C194" s="196"/>
      <c r="D194" s="197"/>
      <c r="E194" s="179"/>
      <c r="F194" s="179"/>
      <c r="G194" s="179"/>
      <c r="H194" s="179"/>
      <c r="I194" s="179"/>
      <c r="J194" s="201"/>
      <c r="K194" s="199"/>
      <c r="L194" s="182"/>
      <c r="M194" s="183"/>
      <c r="N194" s="119"/>
    </row>
    <row r="195">
      <c r="A195" s="119"/>
      <c r="B195" s="202"/>
      <c r="C195" s="196"/>
      <c r="D195" s="197"/>
      <c r="E195" s="179"/>
      <c r="F195" s="179"/>
      <c r="G195" s="179"/>
      <c r="H195" s="179"/>
      <c r="I195" s="179"/>
      <c r="J195" s="201"/>
      <c r="K195" s="199"/>
      <c r="L195" s="182"/>
      <c r="M195" s="183"/>
      <c r="N195" s="119"/>
    </row>
    <row r="196">
      <c r="A196" s="119"/>
      <c r="B196" s="202"/>
      <c r="C196" s="196"/>
      <c r="D196" s="197"/>
      <c r="E196" s="179"/>
      <c r="F196" s="179"/>
      <c r="G196" s="179"/>
      <c r="H196" s="179"/>
      <c r="I196" s="179"/>
      <c r="J196" s="201"/>
      <c r="K196" s="199"/>
      <c r="L196" s="182"/>
      <c r="M196" s="183"/>
      <c r="N196" s="119"/>
    </row>
    <row r="197">
      <c r="A197" s="119"/>
      <c r="B197" s="202"/>
      <c r="C197" s="196"/>
      <c r="D197" s="197"/>
      <c r="E197" s="179"/>
      <c r="F197" s="179"/>
      <c r="G197" s="179"/>
      <c r="H197" s="179"/>
      <c r="I197" s="179"/>
      <c r="J197" s="201"/>
      <c r="K197" s="199"/>
      <c r="L197" s="182"/>
      <c r="M197" s="183"/>
      <c r="N197" s="119"/>
    </row>
    <row r="198">
      <c r="A198" s="119"/>
      <c r="B198" s="202"/>
      <c r="C198" s="196"/>
      <c r="D198" s="197"/>
      <c r="E198" s="179"/>
      <c r="F198" s="179"/>
      <c r="G198" s="179"/>
      <c r="H198" s="179"/>
      <c r="I198" s="179"/>
      <c r="J198" s="201"/>
      <c r="K198" s="199"/>
      <c r="L198" s="182"/>
      <c r="M198" s="183"/>
      <c r="N198" s="119"/>
    </row>
    <row r="199">
      <c r="A199" s="119"/>
      <c r="B199" s="202"/>
      <c r="C199" s="196"/>
      <c r="D199" s="197"/>
      <c r="E199" s="179"/>
      <c r="F199" s="179"/>
      <c r="G199" s="179"/>
      <c r="H199" s="179"/>
      <c r="I199" s="179"/>
      <c r="J199" s="201"/>
      <c r="K199" s="199"/>
      <c r="L199" s="182"/>
      <c r="M199" s="183"/>
      <c r="N199" s="119"/>
    </row>
    <row r="200">
      <c r="A200" s="119"/>
      <c r="B200" s="202"/>
      <c r="C200" s="196"/>
      <c r="D200" s="197"/>
      <c r="E200" s="179"/>
      <c r="F200" s="179"/>
      <c r="G200" s="179"/>
      <c r="H200" s="179"/>
      <c r="I200" s="179"/>
      <c r="J200" s="201"/>
      <c r="K200" s="199"/>
      <c r="L200" s="182"/>
      <c r="M200" s="183"/>
      <c r="N200" s="119"/>
    </row>
    <row r="201">
      <c r="A201" s="119"/>
      <c r="B201" s="202"/>
      <c r="C201" s="196"/>
      <c r="D201" s="197"/>
      <c r="E201" s="179"/>
      <c r="F201" s="179"/>
      <c r="G201" s="179"/>
      <c r="H201" s="179"/>
      <c r="I201" s="179"/>
      <c r="J201" s="201"/>
      <c r="K201" s="199"/>
      <c r="L201" s="182"/>
      <c r="M201" s="183"/>
      <c r="N201" s="119"/>
    </row>
    <row r="202">
      <c r="A202" s="119"/>
      <c r="B202" s="202"/>
      <c r="C202" s="196"/>
      <c r="D202" s="197"/>
      <c r="E202" s="179"/>
      <c r="F202" s="179"/>
      <c r="G202" s="179"/>
      <c r="H202" s="179"/>
      <c r="I202" s="179"/>
      <c r="J202" s="201"/>
      <c r="K202" s="199"/>
      <c r="L202" s="182"/>
      <c r="M202" s="183"/>
      <c r="N202" s="119"/>
    </row>
    <row r="203">
      <c r="A203" s="119"/>
      <c r="B203" s="202"/>
      <c r="C203" s="196"/>
      <c r="D203" s="197"/>
      <c r="E203" s="179"/>
      <c r="F203" s="179"/>
      <c r="G203" s="179"/>
      <c r="H203" s="179"/>
      <c r="I203" s="179"/>
      <c r="J203" s="201"/>
      <c r="K203" s="199"/>
      <c r="L203" s="182"/>
      <c r="M203" s="183"/>
      <c r="N203" s="119"/>
    </row>
    <row r="204">
      <c r="A204" s="119"/>
      <c r="B204" s="202"/>
      <c r="C204" s="196"/>
      <c r="D204" s="197"/>
      <c r="E204" s="179"/>
      <c r="F204" s="179"/>
      <c r="G204" s="179"/>
      <c r="H204" s="179"/>
      <c r="I204" s="179"/>
      <c r="J204" s="201"/>
      <c r="K204" s="199"/>
      <c r="L204" s="182"/>
      <c r="M204" s="183"/>
      <c r="N204" s="119"/>
    </row>
    <row r="205">
      <c r="A205" s="119"/>
      <c r="B205" s="202"/>
      <c r="C205" s="196"/>
      <c r="D205" s="197"/>
      <c r="E205" s="179"/>
      <c r="F205" s="179"/>
      <c r="G205" s="179"/>
      <c r="H205" s="179"/>
      <c r="I205" s="179"/>
      <c r="J205" s="201"/>
      <c r="K205" s="199"/>
      <c r="L205" s="182"/>
      <c r="M205" s="183"/>
      <c r="N205" s="119"/>
    </row>
    <row r="206">
      <c r="A206" s="119"/>
      <c r="B206" s="202"/>
      <c r="C206" s="196"/>
      <c r="D206" s="197"/>
      <c r="E206" s="179"/>
      <c r="F206" s="179"/>
      <c r="G206" s="179"/>
      <c r="H206" s="179"/>
      <c r="I206" s="179"/>
      <c r="J206" s="201"/>
      <c r="K206" s="199"/>
      <c r="L206" s="182"/>
      <c r="M206" s="183"/>
      <c r="N206" s="119"/>
    </row>
    <row r="207">
      <c r="A207" s="119"/>
      <c r="B207" s="202"/>
      <c r="C207" s="196"/>
      <c r="D207" s="197"/>
      <c r="E207" s="179"/>
      <c r="F207" s="179"/>
      <c r="G207" s="179"/>
      <c r="H207" s="179"/>
      <c r="I207" s="179"/>
      <c r="J207" s="201"/>
      <c r="K207" s="199"/>
      <c r="L207" s="182"/>
      <c r="M207" s="183"/>
      <c r="N207" s="119"/>
    </row>
    <row r="208">
      <c r="A208" s="119"/>
      <c r="B208" s="202"/>
      <c r="C208" s="196"/>
      <c r="D208" s="197"/>
      <c r="E208" s="179"/>
      <c r="F208" s="179"/>
      <c r="G208" s="179"/>
      <c r="H208" s="179"/>
      <c r="I208" s="179"/>
      <c r="J208" s="201"/>
      <c r="K208" s="199"/>
      <c r="L208" s="182"/>
      <c r="M208" s="183"/>
      <c r="N208" s="119"/>
    </row>
    <row r="209">
      <c r="A209" s="119"/>
      <c r="B209" s="202"/>
      <c r="C209" s="196"/>
      <c r="D209" s="197"/>
      <c r="E209" s="179"/>
      <c r="F209" s="179"/>
      <c r="G209" s="179"/>
      <c r="H209" s="179"/>
      <c r="I209" s="179"/>
      <c r="J209" s="201"/>
      <c r="K209" s="199"/>
      <c r="L209" s="182"/>
      <c r="M209" s="183"/>
      <c r="N209" s="119"/>
    </row>
    <row r="210">
      <c r="A210" s="119"/>
      <c r="B210" s="202"/>
      <c r="C210" s="196"/>
      <c r="D210" s="197"/>
      <c r="E210" s="179"/>
      <c r="F210" s="179"/>
      <c r="G210" s="179"/>
      <c r="H210" s="179"/>
      <c r="I210" s="179"/>
      <c r="J210" s="201"/>
      <c r="K210" s="199"/>
      <c r="L210" s="182"/>
      <c r="M210" s="183"/>
      <c r="N210" s="119"/>
    </row>
    <row r="211">
      <c r="A211" s="119"/>
      <c r="B211" s="202"/>
      <c r="C211" s="196"/>
      <c r="D211" s="197"/>
      <c r="E211" s="179"/>
      <c r="F211" s="179"/>
      <c r="G211" s="179"/>
      <c r="H211" s="179"/>
      <c r="I211" s="179"/>
      <c r="J211" s="201"/>
      <c r="K211" s="199"/>
      <c r="L211" s="182"/>
      <c r="M211" s="183"/>
      <c r="N211" s="119"/>
    </row>
    <row r="212">
      <c r="A212" s="119"/>
      <c r="B212" s="202"/>
      <c r="C212" s="196"/>
      <c r="D212" s="197"/>
      <c r="E212" s="179"/>
      <c r="F212" s="179"/>
      <c r="G212" s="179"/>
      <c r="H212" s="179"/>
      <c r="I212" s="179"/>
      <c r="J212" s="201"/>
      <c r="K212" s="199"/>
      <c r="L212" s="182"/>
      <c r="M212" s="183"/>
      <c r="N212" s="119"/>
    </row>
    <row r="213">
      <c r="A213" s="119"/>
      <c r="B213" s="202"/>
      <c r="C213" s="196"/>
      <c r="D213" s="197"/>
      <c r="E213" s="179"/>
      <c r="F213" s="179"/>
      <c r="G213" s="179"/>
      <c r="H213" s="179"/>
      <c r="I213" s="179"/>
      <c r="J213" s="201"/>
      <c r="K213" s="199"/>
      <c r="L213" s="182"/>
      <c r="M213" s="183"/>
      <c r="N213" s="119"/>
    </row>
    <row r="214" ht="15.75" customHeight="1">
      <c r="A214" s="119"/>
      <c r="B214" s="119"/>
      <c r="C214" s="119"/>
      <c r="D214" s="119"/>
      <c r="E214" s="119"/>
      <c r="F214" s="119"/>
      <c r="G214" s="119"/>
      <c r="H214" s="119"/>
      <c r="I214" s="119"/>
      <c r="J214" s="119"/>
      <c r="K214" s="119"/>
      <c r="L214" s="119"/>
      <c r="M214" s="119"/>
      <c r="N214" s="119"/>
    </row>
  </sheetData>
  <mergeCells count="19">
    <mergeCell ref="B3:F3"/>
    <mergeCell ref="B4:F4"/>
    <mergeCell ref="B5:F5"/>
    <mergeCell ref="B6:F6"/>
    <mergeCell ref="E8:F8"/>
    <mergeCell ref="B1:M1"/>
    <mergeCell ref="B24:C24"/>
    <mergeCell ref="J24:L24"/>
    <mergeCell ref="B18:H18"/>
    <mergeCell ref="B19:H19"/>
    <mergeCell ref="B20:H20"/>
    <mergeCell ref="F24:H24"/>
    <mergeCell ref="B9:C9"/>
    <mergeCell ref="B10:C10"/>
    <mergeCell ref="B12:H12"/>
    <mergeCell ref="B13:H13"/>
    <mergeCell ref="B15:H15"/>
    <mergeCell ref="B16:H16"/>
    <mergeCell ref="B17:H17"/>
  </mergeCells>
  <conditionalFormatting sqref="J25:J27">
    <cfRule type="containsText" dxfId="0" priority="1" operator="containsText" text="Medium">
      <formula>NOT(ISERROR(SEARCH(("Medium"),(J25))))</formula>
    </cfRule>
  </conditionalFormatting>
  <conditionalFormatting sqref="J25:J27">
    <cfRule type="containsText" dxfId="1" priority="2" operator="containsText" text="High">
      <formula>NOT(ISERROR(SEARCH(("High"),(J25))))</formula>
    </cfRule>
  </conditionalFormatting>
  <conditionalFormatting sqref="B26:B28">
    <cfRule type="containsText" dxfId="2" priority="3" operator="containsText" text="Approved">
      <formula>NOT(ISERROR(SEARCH(("Approved"),(B26))))</formula>
    </cfRule>
  </conditionalFormatting>
  <conditionalFormatting sqref="B26:B28">
    <cfRule type="containsText" dxfId="3" priority="4" operator="containsText" text="Needs Review">
      <formula>NOT(ISERROR(SEARCH(("Needs Review"),(B26))))</formula>
    </cfRule>
  </conditionalFormatting>
  <conditionalFormatting sqref="B26:B28">
    <cfRule type="containsText" dxfId="4" priority="5" operator="containsText" text="Not Started">
      <formula>NOT(ISERROR(SEARCH(("Not Started"),(B26))))</formula>
    </cfRule>
  </conditionalFormatting>
  <conditionalFormatting sqref="B26:B28">
    <cfRule type="containsText" dxfId="5" priority="6" operator="containsText" text="On Hold">
      <formula>NOT(ISERROR(SEARCH(("On Hold"),(B26))))</formula>
    </cfRule>
  </conditionalFormatting>
  <conditionalFormatting sqref="B26:B28">
    <cfRule type="containsText" dxfId="6" priority="7" operator="containsText" text="Open">
      <formula>NOT(ISERROR(SEARCH(("Open"),(B26))))</formula>
    </cfRule>
  </conditionalFormatting>
  <conditionalFormatting sqref="B26:B28">
    <cfRule type="containsText" dxfId="7" priority="8" operator="containsText" text="Closed">
      <formula>NOT(ISERROR(SEARCH(("Closed"),(B26))))</formula>
    </cfRule>
  </conditionalFormatting>
  <conditionalFormatting sqref="B26:B28">
    <cfRule type="containsText" dxfId="8" priority="9" operator="containsText" text="In Progress">
      <formula>NOT(ISERROR(SEARCH(("In Progress"),(B26))))</formula>
    </cfRule>
  </conditionalFormatting>
  <conditionalFormatting sqref="B29:B31">
    <cfRule type="containsText" dxfId="9" priority="10" operator="containsText" text="Minor">
      <formula>NOT(ISERROR(SEARCH(("Minor"),(B29))))</formula>
    </cfRule>
  </conditionalFormatting>
  <conditionalFormatting sqref="B29:B31">
    <cfRule type="containsText" dxfId="10" priority="11" operator="containsText" text="Major">
      <formula>NOT(ISERROR(SEARCH(("Major"),(B29))))</formula>
    </cfRule>
  </conditionalFormatting>
  <conditionalFormatting sqref="B29:B31">
    <cfRule type="containsText" dxfId="11" priority="12" operator="containsText" text="Critical">
      <formula>NOT(ISERROR(SEARCH(("Critical"),(B29))))</formula>
    </cfRule>
  </conditionalFormatting>
  <conditionalFormatting sqref="B35:H59">
    <cfRule type="expression" dxfId="12" priority="13">
      <formula>$J35="FAILED"</formula>
    </cfRule>
  </conditionalFormatting>
  <conditionalFormatting sqref="B64:I213">
    <cfRule type="expression" dxfId="12" priority="14">
      <formula>$J64="FAILED"</formula>
    </cfRule>
  </conditionalFormatting>
  <conditionalFormatting sqref="F26:F29">
    <cfRule type="containsText" dxfId="13" priority="15" operator="containsText" text="Not Executed">
      <formula>NOT(ISERROR(SEARCH(("Not Executed"),(F26))))</formula>
    </cfRule>
  </conditionalFormatting>
  <conditionalFormatting sqref="F26:F29">
    <cfRule type="containsText" dxfId="14" priority="16" operator="containsText" text="BLOCKED">
      <formula>NOT(ISERROR(SEARCH(("BLOCKED"),(F26))))</formula>
    </cfRule>
  </conditionalFormatting>
  <conditionalFormatting sqref="F26:F29">
    <cfRule type="containsText" dxfId="15" priority="17" operator="containsText" text="PASS">
      <formula>NOT(ISERROR(SEARCH(("PASS"),(F26))))</formula>
    </cfRule>
  </conditionalFormatting>
  <conditionalFormatting sqref="F26:F29">
    <cfRule type="containsText" dxfId="16" priority="18" operator="containsText" text="FAIL">
      <formula>NOT(ISERROR(SEARCH(("FAIL"),(F26))))</formula>
    </cfRule>
  </conditionalFormatting>
  <conditionalFormatting sqref="H35:H59">
    <cfRule type="containsText" dxfId="2" priority="19" operator="containsText" text="Approved">
      <formula>NOT(ISERROR(SEARCH(("Approved"),(H35))))</formula>
    </cfRule>
  </conditionalFormatting>
  <conditionalFormatting sqref="H35:H59">
    <cfRule type="containsText" dxfId="3" priority="20" operator="containsText" text="Needs Review">
      <formula>NOT(ISERROR(SEARCH(("Needs Review"),(H35))))</formula>
    </cfRule>
  </conditionalFormatting>
  <conditionalFormatting sqref="H35:H59">
    <cfRule type="containsText" dxfId="4" priority="21" operator="containsText" text="Not Started">
      <formula>NOT(ISERROR(SEARCH(("Not Started"),(H35))))</formula>
    </cfRule>
  </conditionalFormatting>
  <conditionalFormatting sqref="H35:H59">
    <cfRule type="containsText" dxfId="5" priority="22" operator="containsText" text="On Hold">
      <formula>NOT(ISERROR(SEARCH(("On Hold"),(H35))))</formula>
    </cfRule>
  </conditionalFormatting>
  <conditionalFormatting sqref="H35:H59">
    <cfRule type="containsText" dxfId="6" priority="23" operator="containsText" text="Open">
      <formula>NOT(ISERROR(SEARCH(("Open"),(H35))))</formula>
    </cfRule>
  </conditionalFormatting>
  <conditionalFormatting sqref="H35:H59">
    <cfRule type="containsText" dxfId="7" priority="24" operator="containsText" text="Closed">
      <formula>NOT(ISERROR(SEARCH(("Closed"),(H35))))</formula>
    </cfRule>
  </conditionalFormatting>
  <conditionalFormatting sqref="H35:H59">
    <cfRule type="containsText" dxfId="8" priority="25" operator="containsText" text="In Progress">
      <formula>NOT(ISERROR(SEARCH(("In Progress"),(H35))))</formula>
    </cfRule>
  </conditionalFormatting>
  <conditionalFormatting sqref="I35:I59">
    <cfRule type="containsText" dxfId="17" priority="26" operator="containsText" text="Minor">
      <formula>NOT(ISERROR(SEARCH(("Minor"),(I35))))</formula>
    </cfRule>
  </conditionalFormatting>
  <conditionalFormatting sqref="I35:I59">
    <cfRule type="containsText" dxfId="10" priority="27" operator="containsText" text="Medium">
      <formula>NOT(ISERROR(SEARCH(("Medium"),(I35))))</formula>
    </cfRule>
  </conditionalFormatting>
  <conditionalFormatting sqref="I35:I59">
    <cfRule type="containsText" dxfId="11" priority="28" operator="containsText" text="Critical">
      <formula>NOT(ISERROR(SEARCH(("Critical"),(I35))))</formula>
    </cfRule>
  </conditionalFormatting>
  <conditionalFormatting sqref="J25:J27 K64:K213">
    <cfRule type="containsText" dxfId="18" priority="29" operator="containsText" text="Low">
      <formula>NOT(ISERROR(SEARCH(("Low"),(J25))))</formula>
    </cfRule>
  </conditionalFormatting>
  <conditionalFormatting sqref="K64:K213">
    <cfRule type="containsText" dxfId="19" priority="30" operator="containsText" text="Medium">
      <formula>NOT(ISERROR(SEARCH(("Medium"),(K64))))</formula>
    </cfRule>
  </conditionalFormatting>
  <conditionalFormatting sqref="K64:K213">
    <cfRule type="containsText" dxfId="20" priority="31" operator="containsText" text="High">
      <formula>NOT(ISERROR(SEARCH(("High"),(K64))))</formula>
    </cfRule>
  </conditionalFormatting>
  <dataValidations>
    <dataValidation type="list" allowBlank="1" showErrorMessage="1" sqref="H35:H59">
      <formula1>'Dropdown Keys'!$H$3:$H$5</formula1>
    </dataValidation>
    <dataValidation type="list" allowBlank="1" showErrorMessage="1" sqref="D64:D213">
      <formula1>"Unit,Security,Performance,Configuration"</formula1>
    </dataValidation>
    <dataValidation type="list" allowBlank="1" showErrorMessage="1" sqref="J64:J213">
      <formula1>'Dropdown Keys'!$B$3:$B$6</formula1>
    </dataValidation>
    <dataValidation type="list" allowBlank="1" showErrorMessage="1" sqref="I35:I59">
      <formula1>Status</formula1>
    </dataValidation>
    <dataValidation type="list" allowBlank="1" showErrorMessage="1" sqref="K64:K213">
      <formula1>'Dropdown Keys'!$N$3:$N$5</formula1>
    </dataValidation>
  </dataValidations>
  <printOptions/>
  <pageMargins bottom="0.4" footer="0.0" header="0.0" left="0.4" right="0.4" top="0.4"/>
  <pageSetup fitToHeight="0" orientation="landscape"/>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CB13"/>
    <pageSetUpPr fitToPage="1"/>
  </sheetPr>
  <sheetViews>
    <sheetView showGridLines="0" workbookViewId="0"/>
  </sheetViews>
  <sheetFormatPr customHeight="1" defaultColWidth="11.22" defaultRowHeight="15.0"/>
  <cols>
    <col customWidth="1" min="1" max="1" width="3.33"/>
    <col customWidth="1" min="2" max="2" width="11.0"/>
    <col customWidth="1" min="3" max="3" width="11.78"/>
    <col customWidth="1" min="4" max="4" width="12.89"/>
    <col customWidth="1" min="5" max="9" width="20.78"/>
    <col customWidth="1" min="10" max="12" width="16.78"/>
    <col customWidth="1" min="13" max="13" width="22.78"/>
    <col customWidth="1" min="14" max="14" width="3.33"/>
  </cols>
  <sheetData>
    <row r="1" ht="66.0" customHeight="1">
      <c r="A1" s="118"/>
      <c r="B1" s="104" t="s">
        <v>759</v>
      </c>
      <c r="C1" s="105"/>
      <c r="D1" s="105"/>
      <c r="E1" s="105"/>
      <c r="F1" s="105"/>
      <c r="G1" s="105"/>
      <c r="H1" s="105"/>
      <c r="I1" s="105"/>
      <c r="J1" s="105"/>
      <c r="K1" s="105"/>
      <c r="L1" s="105"/>
      <c r="M1" s="106"/>
      <c r="N1" s="118"/>
    </row>
    <row r="2" ht="45.75" customHeight="1">
      <c r="A2" s="119"/>
      <c r="B2" s="120"/>
      <c r="C2" s="120"/>
      <c r="D2" s="120"/>
      <c r="E2" s="120"/>
      <c r="F2" s="120"/>
      <c r="G2" s="120"/>
      <c r="H2" s="121"/>
      <c r="I2" s="121"/>
      <c r="J2" s="119"/>
      <c r="K2" s="119"/>
      <c r="L2" s="119"/>
      <c r="M2" s="119"/>
      <c r="N2" s="119"/>
    </row>
    <row r="3" ht="19.5" customHeight="1">
      <c r="A3" s="122"/>
      <c r="B3" s="123" t="s">
        <v>662</v>
      </c>
      <c r="C3" s="124"/>
      <c r="D3" s="124"/>
      <c r="E3" s="124"/>
      <c r="F3" s="125"/>
      <c r="G3" s="203" t="s">
        <v>649</v>
      </c>
      <c r="I3" s="127"/>
      <c r="J3" s="122"/>
      <c r="K3" s="122"/>
      <c r="L3" s="122"/>
      <c r="M3" s="122"/>
      <c r="N3" s="122"/>
    </row>
    <row r="4" ht="34.5" customHeight="1">
      <c r="A4" s="122"/>
      <c r="B4" s="128" t="s">
        <v>30</v>
      </c>
      <c r="C4" s="129"/>
      <c r="D4" s="129"/>
      <c r="E4" s="129"/>
      <c r="F4" s="130"/>
      <c r="G4" s="204">
        <f>C25</f>
        <v>0</v>
      </c>
      <c r="I4" s="127"/>
      <c r="J4" s="122"/>
      <c r="K4" s="122"/>
      <c r="L4" s="122"/>
      <c r="M4" s="122"/>
      <c r="N4" s="122"/>
    </row>
    <row r="5" ht="19.5" customHeight="1">
      <c r="A5" s="122"/>
      <c r="B5" s="132" t="s">
        <v>663</v>
      </c>
      <c r="C5" s="133"/>
      <c r="D5" s="133"/>
      <c r="E5" s="133"/>
      <c r="F5" s="134"/>
      <c r="G5" s="205" t="s">
        <v>664</v>
      </c>
      <c r="I5" s="127"/>
      <c r="J5" s="122"/>
      <c r="K5" s="122"/>
      <c r="L5" s="122"/>
      <c r="M5" s="122"/>
      <c r="N5" s="122"/>
    </row>
    <row r="6" ht="34.5" customHeight="1">
      <c r="A6" s="122"/>
      <c r="B6" s="136" t="s">
        <v>665</v>
      </c>
      <c r="C6" s="129"/>
      <c r="D6" s="129"/>
      <c r="E6" s="129"/>
      <c r="F6" s="130"/>
      <c r="G6" s="204">
        <f>G25</f>
        <v>0</v>
      </c>
      <c r="I6" s="127"/>
      <c r="J6" s="122"/>
      <c r="K6" s="122"/>
      <c r="L6" s="122"/>
      <c r="M6" s="122"/>
      <c r="N6" s="122"/>
    </row>
    <row r="7" ht="15.75" customHeight="1">
      <c r="A7" s="119"/>
      <c r="B7" s="119"/>
      <c r="C7" s="119"/>
      <c r="D7" s="119"/>
      <c r="E7" s="119"/>
      <c r="F7" s="119"/>
      <c r="G7" s="119"/>
      <c r="H7" s="119"/>
      <c r="I7" s="119"/>
      <c r="J7" s="119"/>
      <c r="K7" s="119"/>
      <c r="L7" s="119"/>
      <c r="M7" s="119"/>
      <c r="N7" s="119"/>
    </row>
    <row r="8" ht="15.75" customHeight="1">
      <c r="A8" s="119"/>
      <c r="B8" s="119"/>
      <c r="C8" s="119"/>
      <c r="D8" s="119"/>
      <c r="E8" s="137" t="s">
        <v>666</v>
      </c>
      <c r="F8" s="138"/>
      <c r="G8" s="139"/>
      <c r="H8" s="119"/>
      <c r="I8" s="119"/>
      <c r="J8" s="119"/>
      <c r="K8" s="119"/>
      <c r="L8" s="119"/>
      <c r="M8" s="119"/>
      <c r="N8" s="119"/>
    </row>
    <row r="9" ht="15.75" customHeight="1">
      <c r="A9" s="119"/>
      <c r="B9" s="140" t="s">
        <v>667</v>
      </c>
      <c r="C9" s="125"/>
      <c r="D9" s="141" t="s">
        <v>668</v>
      </c>
      <c r="E9" s="142" t="s">
        <v>669</v>
      </c>
      <c r="F9" s="143" t="s">
        <v>670</v>
      </c>
      <c r="G9" s="139"/>
      <c r="H9" s="119"/>
      <c r="I9" s="119"/>
      <c r="J9" s="119"/>
      <c r="K9" s="119"/>
      <c r="L9" s="119"/>
      <c r="M9" s="119"/>
      <c r="N9" s="119"/>
    </row>
    <row r="10" ht="34.5" customHeight="1">
      <c r="A10" s="119"/>
      <c r="B10" s="144" t="s">
        <v>671</v>
      </c>
      <c r="C10" s="130"/>
      <c r="D10" s="145"/>
      <c r="E10" s="146">
        <v>46071.0</v>
      </c>
      <c r="F10" s="147">
        <v>46072.0</v>
      </c>
      <c r="G10" s="139"/>
      <c r="H10" s="119"/>
      <c r="I10" s="119"/>
      <c r="J10" s="119"/>
      <c r="K10" s="119"/>
      <c r="L10" s="119"/>
      <c r="M10" s="119"/>
      <c r="N10" s="119"/>
    </row>
    <row r="11" ht="15.75" customHeight="1">
      <c r="A11" s="119"/>
      <c r="B11" s="119"/>
      <c r="C11" s="119"/>
      <c r="D11" s="119"/>
      <c r="E11" s="119"/>
      <c r="F11" s="119"/>
      <c r="G11" s="119"/>
      <c r="H11" s="119"/>
      <c r="I11" s="119"/>
      <c r="J11" s="119"/>
      <c r="K11" s="119"/>
      <c r="L11" s="119"/>
      <c r="M11" s="119"/>
      <c r="N11" s="119"/>
    </row>
    <row r="12" ht="24.75" customHeight="1">
      <c r="A12" s="122"/>
      <c r="B12" s="148" t="s">
        <v>760</v>
      </c>
      <c r="C12" s="124"/>
      <c r="D12" s="124"/>
      <c r="E12" s="124"/>
      <c r="F12" s="124"/>
      <c r="G12" s="124"/>
      <c r="H12" s="125"/>
      <c r="I12" s="122"/>
      <c r="J12" s="122"/>
      <c r="K12" s="122"/>
      <c r="L12" s="122"/>
      <c r="M12" s="122"/>
      <c r="N12" s="122"/>
    </row>
    <row r="13" ht="64.5" customHeight="1">
      <c r="A13" s="122"/>
      <c r="B13" s="151"/>
      <c r="C13" s="129"/>
      <c r="D13" s="129"/>
      <c r="E13" s="129"/>
      <c r="F13" s="129"/>
      <c r="G13" s="129"/>
      <c r="H13" s="130"/>
      <c r="I13" s="122"/>
      <c r="J13" s="122"/>
      <c r="K13" s="122"/>
      <c r="L13" s="122"/>
      <c r="M13" s="122"/>
      <c r="N13" s="122"/>
    </row>
    <row r="14" ht="15.75" customHeight="1">
      <c r="A14" s="119"/>
      <c r="B14" s="119"/>
      <c r="C14" s="119"/>
      <c r="D14" s="119"/>
      <c r="E14" s="119"/>
      <c r="F14" s="119"/>
      <c r="G14" s="119"/>
      <c r="H14" s="119"/>
      <c r="I14" s="119"/>
      <c r="J14" s="119"/>
      <c r="K14" s="119"/>
      <c r="L14" s="119"/>
      <c r="M14" s="119"/>
      <c r="N14" s="119"/>
    </row>
    <row r="15" ht="24.75" customHeight="1">
      <c r="A15" s="122"/>
      <c r="B15" s="150" t="s">
        <v>761</v>
      </c>
      <c r="C15" s="124"/>
      <c r="D15" s="124"/>
      <c r="E15" s="124"/>
      <c r="F15" s="124"/>
      <c r="G15" s="124"/>
      <c r="H15" s="125"/>
      <c r="I15" s="122"/>
      <c r="J15" s="122"/>
      <c r="K15" s="122"/>
      <c r="L15" s="122"/>
      <c r="M15" s="122"/>
      <c r="N15" s="122"/>
    </row>
    <row r="16" ht="64.5" customHeight="1">
      <c r="A16" s="122"/>
      <c r="B16" s="151"/>
      <c r="C16" s="129"/>
      <c r="D16" s="129"/>
      <c r="E16" s="129"/>
      <c r="F16" s="129"/>
      <c r="G16" s="129"/>
      <c r="H16" s="130"/>
      <c r="I16" s="122"/>
      <c r="J16" s="122"/>
      <c r="K16" s="122"/>
      <c r="L16" s="122"/>
      <c r="M16" s="122"/>
      <c r="N16" s="122"/>
    </row>
    <row r="17" ht="24.75" customHeight="1">
      <c r="A17" s="122"/>
      <c r="B17" s="152" t="s">
        <v>762</v>
      </c>
      <c r="C17" s="133"/>
      <c r="D17" s="133"/>
      <c r="E17" s="133"/>
      <c r="F17" s="133"/>
      <c r="G17" s="133"/>
      <c r="H17" s="134"/>
      <c r="I17" s="122"/>
      <c r="J17" s="122"/>
      <c r="K17" s="122"/>
      <c r="L17" s="122"/>
      <c r="M17" s="122"/>
      <c r="N17" s="122"/>
    </row>
    <row r="18" ht="64.5" customHeight="1">
      <c r="A18" s="122"/>
      <c r="B18" s="151"/>
      <c r="C18" s="129"/>
      <c r="D18" s="129"/>
      <c r="E18" s="129"/>
      <c r="F18" s="129"/>
      <c r="G18" s="129"/>
      <c r="H18" s="130"/>
      <c r="I18" s="122"/>
      <c r="J18" s="122"/>
      <c r="K18" s="122"/>
      <c r="L18" s="122"/>
      <c r="M18" s="122"/>
      <c r="N18" s="122"/>
    </row>
    <row r="19" ht="24.75" customHeight="1">
      <c r="A19" s="122"/>
      <c r="B19" s="152" t="s">
        <v>763</v>
      </c>
      <c r="C19" s="133"/>
      <c r="D19" s="133"/>
      <c r="E19" s="133"/>
      <c r="F19" s="133"/>
      <c r="G19" s="133"/>
      <c r="H19" s="134"/>
      <c r="I19" s="122"/>
      <c r="J19" s="122"/>
      <c r="K19" s="122"/>
      <c r="L19" s="122"/>
      <c r="M19" s="122"/>
      <c r="N19" s="122"/>
    </row>
    <row r="20" ht="64.5" customHeight="1">
      <c r="A20" s="122"/>
      <c r="B20" s="153"/>
      <c r="C20" s="129"/>
      <c r="D20" s="129"/>
      <c r="E20" s="129"/>
      <c r="F20" s="129"/>
      <c r="G20" s="129"/>
      <c r="H20" s="130"/>
      <c r="I20" s="122"/>
      <c r="J20" s="122"/>
      <c r="K20" s="122"/>
      <c r="L20" s="122"/>
      <c r="M20" s="122"/>
      <c r="N20" s="122"/>
    </row>
    <row r="21" ht="69.0" customHeight="1">
      <c r="A21" s="119"/>
      <c r="B21" s="119"/>
      <c r="C21" s="119"/>
      <c r="D21" s="119"/>
      <c r="E21" s="119"/>
      <c r="F21" s="119"/>
      <c r="G21" s="119"/>
      <c r="H21" s="119"/>
      <c r="I21" s="119"/>
      <c r="J21" s="119"/>
      <c r="K21" s="119"/>
      <c r="L21" s="119"/>
      <c r="M21" s="119"/>
      <c r="N21" s="119"/>
    </row>
    <row r="22" ht="9.0" customHeight="1">
      <c r="A22" s="119"/>
      <c r="B22" s="154"/>
      <c r="C22" s="154"/>
      <c r="D22" s="154"/>
      <c r="E22" s="154"/>
      <c r="F22" s="154"/>
      <c r="G22" s="154"/>
      <c r="H22" s="154"/>
      <c r="I22" s="154"/>
      <c r="J22" s="154"/>
      <c r="K22" s="154"/>
      <c r="L22" s="154"/>
      <c r="M22" s="154"/>
      <c r="N22" s="119"/>
    </row>
    <row r="23" ht="34.5" customHeight="1">
      <c r="A23" s="122"/>
      <c r="B23" s="155" t="s">
        <v>677</v>
      </c>
      <c r="C23" s="156"/>
      <c r="D23" s="156"/>
      <c r="E23" s="156"/>
      <c r="F23" s="156"/>
      <c r="G23" s="156"/>
      <c r="H23" s="156"/>
      <c r="I23" s="156"/>
      <c r="J23" s="156"/>
      <c r="K23" s="156"/>
      <c r="L23" s="156"/>
      <c r="M23" s="156"/>
      <c r="N23" s="156"/>
    </row>
    <row r="24" ht="25.5" customHeight="1">
      <c r="A24" s="119"/>
      <c r="B24" s="157" t="s">
        <v>678</v>
      </c>
      <c r="D24" s="157"/>
      <c r="E24" s="119"/>
      <c r="F24" s="157" t="s">
        <v>679</v>
      </c>
      <c r="I24" s="119"/>
      <c r="J24" s="158" t="s">
        <v>680</v>
      </c>
      <c r="M24" s="119"/>
      <c r="N24" s="119"/>
    </row>
    <row r="25" ht="54.75" customHeight="1">
      <c r="A25" s="119"/>
      <c r="B25" s="159" t="s">
        <v>681</v>
      </c>
      <c r="C25" s="160">
        <f>COUNTIF(B35:B59, "*")</f>
        <v>0</v>
      </c>
      <c r="D25" s="157"/>
      <c r="E25" s="119"/>
      <c r="F25" s="161" t="s">
        <v>682</v>
      </c>
      <c r="G25" s="162">
        <f>COUNTIF(B64:B213, "*")</f>
        <v>0</v>
      </c>
      <c r="I25" s="119"/>
      <c r="J25" s="163" t="s">
        <v>683</v>
      </c>
      <c r="K25" s="164">
        <f t="shared" ref="K25:K27" si="1">COUNTIF(K63:K212,J25)</f>
        <v>0</v>
      </c>
      <c r="L25" s="119"/>
      <c r="M25" s="119"/>
      <c r="N25" s="119"/>
    </row>
    <row r="26" ht="28.5" customHeight="1">
      <c r="A26" s="119"/>
      <c r="B26" s="165" t="s">
        <v>684</v>
      </c>
      <c r="C26" s="164">
        <f>COUNTIF(H35:H59,B26)</f>
        <v>0</v>
      </c>
      <c r="D26" s="157"/>
      <c r="E26" s="119"/>
      <c r="F26" s="166" t="s">
        <v>685</v>
      </c>
      <c r="G26" s="164">
        <f>COUNTIF(J64:J213,F26)</f>
        <v>0</v>
      </c>
      <c r="I26" s="119"/>
      <c r="J26" s="163" t="s">
        <v>686</v>
      </c>
      <c r="K26" s="164">
        <f t="shared" si="1"/>
        <v>0</v>
      </c>
      <c r="L26" s="119"/>
      <c r="M26" s="119"/>
      <c r="N26" s="119"/>
    </row>
    <row r="27" ht="28.5" customHeight="1">
      <c r="A27" s="119"/>
      <c r="B27" s="167" t="s">
        <v>112</v>
      </c>
      <c r="C27" s="168">
        <f>COUNTIF(H35:H59,B27)</f>
        <v>0</v>
      </c>
      <c r="D27" s="157"/>
      <c r="E27" s="119"/>
      <c r="F27" s="169" t="s">
        <v>687</v>
      </c>
      <c r="G27" s="168">
        <f>COUNTIF(J64:J213,F27)</f>
        <v>0</v>
      </c>
      <c r="I27" s="119"/>
      <c r="J27" s="163" t="s">
        <v>688</v>
      </c>
      <c r="K27" s="164">
        <f t="shared" si="1"/>
        <v>0</v>
      </c>
      <c r="L27" s="119"/>
      <c r="M27" s="119"/>
      <c r="N27" s="119"/>
    </row>
    <row r="28" ht="28.5" customHeight="1">
      <c r="A28" s="119"/>
      <c r="B28" s="167" t="s">
        <v>689</v>
      </c>
      <c r="C28" s="168">
        <f>COUNTIF(H35:H59,B28)</f>
        <v>0</v>
      </c>
      <c r="D28" s="157"/>
      <c r="E28" s="119"/>
      <c r="F28" s="169" t="s">
        <v>690</v>
      </c>
      <c r="G28" s="168">
        <f>COUNTIF(J64:J213,F28)</f>
        <v>0</v>
      </c>
      <c r="I28" s="119"/>
      <c r="J28" s="119"/>
      <c r="K28" s="119"/>
      <c r="L28" s="119"/>
      <c r="M28" s="119"/>
      <c r="N28" s="119"/>
    </row>
    <row r="29" ht="28.5" customHeight="1">
      <c r="A29" s="119"/>
      <c r="B29" s="170" t="s">
        <v>691</v>
      </c>
      <c r="C29" s="168">
        <f>COUNTIF(I35:I59,B29)</f>
        <v>0</v>
      </c>
      <c r="D29" s="157"/>
      <c r="E29" s="119"/>
      <c r="F29" s="169" t="s">
        <v>692</v>
      </c>
      <c r="G29" s="168">
        <f>COUNTIF(J64:J213,F29)</f>
        <v>0</v>
      </c>
      <c r="I29" s="119"/>
      <c r="J29" s="119"/>
      <c r="K29" s="119"/>
      <c r="L29" s="119"/>
      <c r="M29" s="119"/>
      <c r="N29" s="119"/>
    </row>
    <row r="30" ht="28.5" customHeight="1">
      <c r="A30" s="119"/>
      <c r="B30" s="170" t="s">
        <v>693</v>
      </c>
      <c r="C30" s="168">
        <f>COUNTIF(I35:I59,B30)</f>
        <v>0</v>
      </c>
      <c r="D30" s="157"/>
      <c r="E30" s="119"/>
      <c r="F30" s="119"/>
      <c r="G30" s="119"/>
      <c r="H30" s="119"/>
      <c r="I30" s="119"/>
      <c r="J30" s="119"/>
      <c r="K30" s="119"/>
      <c r="L30" s="119"/>
      <c r="M30" s="119"/>
      <c r="N30" s="119"/>
    </row>
    <row r="31" ht="28.5" customHeight="1">
      <c r="A31" s="119"/>
      <c r="B31" s="170" t="s">
        <v>694</v>
      </c>
      <c r="C31" s="168">
        <f>COUNTIF(I35:I59,B31)</f>
        <v>0</v>
      </c>
      <c r="D31" s="157"/>
      <c r="E31" s="119"/>
      <c r="F31" s="119"/>
      <c r="G31" s="119"/>
      <c r="H31" s="119"/>
      <c r="I31" s="119"/>
      <c r="J31" s="119"/>
      <c r="K31" s="119"/>
      <c r="L31" s="119"/>
      <c r="M31" s="119"/>
      <c r="N31" s="119"/>
    </row>
    <row r="32" ht="15.75" customHeight="1">
      <c r="A32" s="119"/>
      <c r="B32" s="119"/>
      <c r="C32" s="119"/>
      <c r="D32" s="119"/>
      <c r="E32" s="119"/>
      <c r="F32" s="119"/>
      <c r="G32" s="119"/>
      <c r="H32" s="119"/>
      <c r="I32" s="119"/>
      <c r="J32" s="119"/>
      <c r="K32" s="119"/>
      <c r="L32" s="119"/>
      <c r="M32" s="119"/>
      <c r="N32" s="119"/>
    </row>
    <row r="33" ht="34.5" customHeight="1">
      <c r="A33" s="122"/>
      <c r="B33" s="171" t="s">
        <v>695</v>
      </c>
      <c r="C33" s="156"/>
      <c r="D33" s="156"/>
      <c r="E33" s="156"/>
      <c r="F33" s="156"/>
      <c r="G33" s="156"/>
      <c r="H33" s="156"/>
      <c r="I33" s="156"/>
      <c r="J33" s="156"/>
      <c r="K33" s="156"/>
      <c r="L33" s="156"/>
      <c r="M33" s="156"/>
      <c r="N33" s="156"/>
    </row>
    <row r="34" ht="39.75" customHeight="1">
      <c r="A34" s="172"/>
      <c r="B34" s="173" t="s">
        <v>696</v>
      </c>
      <c r="C34" s="173" t="s">
        <v>697</v>
      </c>
      <c r="D34" s="174" t="s">
        <v>698</v>
      </c>
      <c r="E34" s="174" t="s">
        <v>699</v>
      </c>
      <c r="F34" s="174" t="s">
        <v>700</v>
      </c>
      <c r="G34" s="175" t="s">
        <v>701</v>
      </c>
      <c r="H34" s="173" t="s">
        <v>702</v>
      </c>
      <c r="I34" s="173" t="s">
        <v>703</v>
      </c>
      <c r="J34" s="176" t="s">
        <v>704</v>
      </c>
      <c r="K34" s="176" t="s">
        <v>652</v>
      </c>
      <c r="L34" s="119"/>
      <c r="M34" s="119"/>
      <c r="N34" s="172"/>
    </row>
    <row r="35" ht="15.75" customHeight="1">
      <c r="A35" s="119"/>
      <c r="B35" s="184"/>
      <c r="C35" s="178"/>
      <c r="D35" s="179"/>
      <c r="E35" s="179"/>
      <c r="F35" s="179"/>
      <c r="G35" s="179"/>
      <c r="H35" s="187"/>
      <c r="I35" s="181"/>
      <c r="J35" s="182"/>
      <c r="K35" s="183"/>
      <c r="L35" s="119"/>
      <c r="M35" s="119"/>
      <c r="N35" s="119"/>
    </row>
    <row r="36" ht="15.75" customHeight="1">
      <c r="A36" s="119"/>
      <c r="B36" s="184"/>
      <c r="C36" s="178"/>
      <c r="D36" s="179"/>
      <c r="E36" s="179"/>
      <c r="F36" s="179"/>
      <c r="G36" s="179"/>
      <c r="H36" s="167"/>
      <c r="I36" s="181"/>
      <c r="J36" s="182"/>
      <c r="K36" s="183"/>
      <c r="L36" s="119"/>
      <c r="M36" s="119"/>
      <c r="N36" s="119"/>
    </row>
    <row r="37" ht="15.75" customHeight="1">
      <c r="A37" s="119"/>
      <c r="B37" s="184"/>
      <c r="C37" s="178"/>
      <c r="D37" s="179"/>
      <c r="E37" s="179"/>
      <c r="F37" s="179"/>
      <c r="G37" s="179"/>
      <c r="H37" s="167"/>
      <c r="I37" s="186"/>
      <c r="J37" s="182"/>
      <c r="K37" s="183"/>
      <c r="L37" s="119"/>
      <c r="M37" s="119"/>
      <c r="N37" s="119"/>
    </row>
    <row r="38" ht="15.75" customHeight="1">
      <c r="A38" s="119"/>
      <c r="B38" s="184"/>
      <c r="C38" s="178"/>
      <c r="D38" s="179"/>
      <c r="E38" s="179"/>
      <c r="F38" s="179"/>
      <c r="G38" s="179"/>
      <c r="H38" s="187"/>
      <c r="I38" s="186"/>
      <c r="J38" s="182"/>
      <c r="K38" s="183"/>
      <c r="L38" s="119"/>
      <c r="M38" s="119"/>
      <c r="N38" s="119"/>
    </row>
    <row r="39" ht="15.75" customHeight="1">
      <c r="A39" s="119"/>
      <c r="B39" s="184"/>
      <c r="C39" s="178"/>
      <c r="D39" s="179"/>
      <c r="E39" s="179"/>
      <c r="F39" s="179"/>
      <c r="G39" s="179"/>
      <c r="H39" s="187"/>
      <c r="I39" s="186"/>
      <c r="J39" s="182"/>
      <c r="K39" s="183"/>
      <c r="L39" s="119"/>
      <c r="M39" s="119"/>
      <c r="N39" s="119"/>
    </row>
    <row r="40" ht="15.75" customHeight="1">
      <c r="A40" s="119"/>
      <c r="B40" s="184"/>
      <c r="C40" s="178"/>
      <c r="D40" s="179"/>
      <c r="E40" s="179"/>
      <c r="F40" s="179"/>
      <c r="G40" s="179"/>
      <c r="H40" s="187"/>
      <c r="I40" s="186"/>
      <c r="J40" s="182"/>
      <c r="K40" s="183"/>
      <c r="L40" s="119"/>
      <c r="M40" s="119"/>
      <c r="N40" s="119"/>
    </row>
    <row r="41" ht="15.75" customHeight="1">
      <c r="A41" s="119"/>
      <c r="B41" s="184"/>
      <c r="C41" s="178"/>
      <c r="D41" s="179"/>
      <c r="E41" s="179"/>
      <c r="F41" s="179"/>
      <c r="G41" s="179"/>
      <c r="H41" s="187"/>
      <c r="I41" s="186"/>
      <c r="J41" s="182"/>
      <c r="K41" s="183"/>
      <c r="L41" s="119"/>
      <c r="M41" s="119"/>
      <c r="N41" s="119"/>
    </row>
    <row r="42" ht="15.75" customHeight="1">
      <c r="A42" s="119"/>
      <c r="B42" s="184"/>
      <c r="C42" s="178"/>
      <c r="D42" s="179"/>
      <c r="E42" s="179"/>
      <c r="F42" s="179"/>
      <c r="G42" s="179"/>
      <c r="H42" s="187"/>
      <c r="I42" s="181"/>
      <c r="J42" s="182"/>
      <c r="K42" s="183"/>
      <c r="L42" s="119"/>
      <c r="M42" s="119"/>
      <c r="N42" s="119"/>
    </row>
    <row r="43" ht="15.75" customHeight="1">
      <c r="A43" s="119"/>
      <c r="B43" s="184"/>
      <c r="C43" s="178"/>
      <c r="D43" s="179"/>
      <c r="E43" s="179"/>
      <c r="F43" s="179"/>
      <c r="G43" s="179"/>
      <c r="H43" s="187"/>
      <c r="I43" s="186"/>
      <c r="J43" s="182"/>
      <c r="K43" s="183"/>
      <c r="L43" s="119"/>
      <c r="M43" s="119"/>
      <c r="N43" s="119"/>
    </row>
    <row r="44" ht="15.75" customHeight="1">
      <c r="A44" s="119"/>
      <c r="B44" s="184"/>
      <c r="C44" s="178"/>
      <c r="D44" s="179"/>
      <c r="E44" s="179"/>
      <c r="F44" s="179"/>
      <c r="G44" s="179"/>
      <c r="H44" s="187"/>
      <c r="I44" s="186"/>
      <c r="J44" s="182"/>
      <c r="K44" s="183"/>
      <c r="L44" s="119"/>
      <c r="M44" s="119"/>
      <c r="N44" s="119"/>
    </row>
    <row r="45" ht="15.75" customHeight="1">
      <c r="A45" s="119"/>
      <c r="B45" s="184"/>
      <c r="C45" s="178"/>
      <c r="D45" s="179"/>
      <c r="E45" s="179"/>
      <c r="F45" s="179"/>
      <c r="G45" s="179"/>
      <c r="H45" s="187"/>
      <c r="I45" s="186"/>
      <c r="J45" s="182"/>
      <c r="K45" s="183"/>
      <c r="L45" s="119"/>
      <c r="M45" s="119"/>
      <c r="N45" s="119"/>
    </row>
    <row r="46" ht="15.75" customHeight="1">
      <c r="A46" s="119"/>
      <c r="B46" s="184"/>
      <c r="C46" s="178"/>
      <c r="D46" s="179"/>
      <c r="E46" s="179"/>
      <c r="F46" s="179"/>
      <c r="G46" s="179"/>
      <c r="H46" s="187"/>
      <c r="I46" s="186"/>
      <c r="J46" s="182"/>
      <c r="K46" s="183"/>
      <c r="L46" s="119"/>
      <c r="M46" s="119"/>
      <c r="N46" s="119"/>
    </row>
    <row r="47" ht="15.75" customHeight="1">
      <c r="A47" s="119"/>
      <c r="B47" s="184"/>
      <c r="C47" s="178"/>
      <c r="D47" s="179"/>
      <c r="E47" s="179"/>
      <c r="F47" s="179"/>
      <c r="G47" s="179"/>
      <c r="H47" s="187"/>
      <c r="I47" s="186"/>
      <c r="J47" s="182"/>
      <c r="K47" s="183"/>
      <c r="L47" s="119"/>
      <c r="M47" s="119"/>
      <c r="N47" s="119"/>
    </row>
    <row r="48" ht="15.75" customHeight="1">
      <c r="A48" s="119"/>
      <c r="B48" s="184"/>
      <c r="C48" s="178"/>
      <c r="D48" s="179"/>
      <c r="E48" s="179"/>
      <c r="F48" s="179"/>
      <c r="G48" s="179"/>
      <c r="H48" s="187"/>
      <c r="I48" s="186"/>
      <c r="J48" s="182"/>
      <c r="K48" s="183"/>
      <c r="L48" s="119"/>
      <c r="M48" s="119"/>
      <c r="N48" s="119"/>
    </row>
    <row r="49" ht="15.75" customHeight="1">
      <c r="A49" s="119"/>
      <c r="B49" s="184"/>
      <c r="C49" s="178"/>
      <c r="D49" s="179"/>
      <c r="E49" s="179"/>
      <c r="F49" s="179"/>
      <c r="G49" s="179"/>
      <c r="H49" s="187"/>
      <c r="I49" s="181"/>
      <c r="J49" s="182"/>
      <c r="K49" s="183"/>
      <c r="L49" s="119"/>
      <c r="M49" s="119"/>
      <c r="N49" s="119"/>
    </row>
    <row r="50" ht="15.75" customHeight="1">
      <c r="A50" s="119"/>
      <c r="B50" s="184"/>
      <c r="C50" s="178"/>
      <c r="D50" s="179"/>
      <c r="E50" s="179"/>
      <c r="F50" s="179"/>
      <c r="G50" s="179"/>
      <c r="H50" s="187"/>
      <c r="I50" s="186"/>
      <c r="J50" s="182"/>
      <c r="K50" s="183"/>
      <c r="L50" s="119"/>
      <c r="M50" s="119"/>
      <c r="N50" s="119"/>
    </row>
    <row r="51" ht="15.75" customHeight="1">
      <c r="A51" s="119"/>
      <c r="B51" s="184"/>
      <c r="C51" s="178"/>
      <c r="D51" s="179"/>
      <c r="E51" s="179"/>
      <c r="F51" s="179"/>
      <c r="G51" s="179"/>
      <c r="H51" s="187"/>
      <c r="I51" s="186"/>
      <c r="J51" s="182"/>
      <c r="K51" s="183"/>
      <c r="L51" s="119"/>
      <c r="M51" s="119"/>
      <c r="N51" s="119"/>
    </row>
    <row r="52" ht="15.75" customHeight="1">
      <c r="A52" s="119"/>
      <c r="B52" s="184"/>
      <c r="C52" s="178"/>
      <c r="D52" s="179"/>
      <c r="E52" s="179"/>
      <c r="F52" s="179"/>
      <c r="G52" s="179"/>
      <c r="H52" s="187"/>
      <c r="I52" s="186"/>
      <c r="J52" s="182"/>
      <c r="K52" s="183"/>
      <c r="L52" s="119"/>
      <c r="M52" s="119"/>
      <c r="N52" s="119"/>
    </row>
    <row r="53" ht="15.75" customHeight="1">
      <c r="A53" s="119"/>
      <c r="B53" s="184"/>
      <c r="C53" s="178"/>
      <c r="D53" s="179"/>
      <c r="E53" s="179"/>
      <c r="F53" s="179"/>
      <c r="G53" s="179"/>
      <c r="H53" s="187"/>
      <c r="I53" s="186"/>
      <c r="J53" s="182"/>
      <c r="K53" s="183"/>
      <c r="L53" s="119"/>
      <c r="M53" s="119"/>
      <c r="N53" s="119"/>
    </row>
    <row r="54" ht="15.75" customHeight="1">
      <c r="A54" s="119"/>
      <c r="B54" s="184"/>
      <c r="C54" s="178"/>
      <c r="D54" s="179"/>
      <c r="E54" s="179"/>
      <c r="F54" s="179"/>
      <c r="G54" s="179"/>
      <c r="H54" s="187"/>
      <c r="I54" s="186"/>
      <c r="J54" s="182"/>
      <c r="K54" s="183"/>
      <c r="L54" s="119"/>
      <c r="M54" s="119"/>
      <c r="N54" s="119"/>
    </row>
    <row r="55" ht="15.75" customHeight="1">
      <c r="A55" s="119"/>
      <c r="B55" s="184"/>
      <c r="C55" s="178"/>
      <c r="D55" s="179"/>
      <c r="E55" s="179"/>
      <c r="F55" s="179"/>
      <c r="G55" s="179"/>
      <c r="H55" s="187"/>
      <c r="I55" s="186"/>
      <c r="J55" s="182"/>
      <c r="K55" s="183"/>
      <c r="L55" s="119"/>
      <c r="M55" s="119"/>
      <c r="N55" s="119"/>
    </row>
    <row r="56" ht="15.75" customHeight="1">
      <c r="A56" s="119"/>
      <c r="B56" s="184"/>
      <c r="C56" s="178"/>
      <c r="D56" s="179"/>
      <c r="E56" s="179"/>
      <c r="F56" s="179"/>
      <c r="G56" s="179"/>
      <c r="H56" s="187"/>
      <c r="I56" s="186"/>
      <c r="J56" s="182"/>
      <c r="K56" s="183"/>
      <c r="L56" s="119"/>
      <c r="M56" s="119"/>
      <c r="N56" s="119"/>
    </row>
    <row r="57" ht="15.75" customHeight="1">
      <c r="A57" s="119"/>
      <c r="B57" s="184"/>
      <c r="C57" s="178"/>
      <c r="D57" s="179"/>
      <c r="E57" s="179"/>
      <c r="F57" s="179"/>
      <c r="G57" s="179"/>
      <c r="H57" s="187"/>
      <c r="I57" s="186"/>
      <c r="J57" s="182"/>
      <c r="K57" s="183"/>
      <c r="L57" s="119"/>
      <c r="M57" s="119"/>
      <c r="N57" s="119"/>
    </row>
    <row r="58" ht="15.75" customHeight="1">
      <c r="A58" s="119"/>
      <c r="B58" s="184"/>
      <c r="C58" s="178"/>
      <c r="D58" s="179"/>
      <c r="E58" s="179"/>
      <c r="F58" s="179"/>
      <c r="G58" s="179"/>
      <c r="H58" s="187"/>
      <c r="I58" s="186"/>
      <c r="J58" s="182"/>
      <c r="K58" s="183"/>
      <c r="L58" s="119"/>
      <c r="M58" s="119"/>
      <c r="N58" s="119"/>
    </row>
    <row r="59" ht="15.75" customHeight="1">
      <c r="A59" s="119"/>
      <c r="B59" s="184"/>
      <c r="C59" s="178"/>
      <c r="D59" s="179"/>
      <c r="E59" s="179"/>
      <c r="F59" s="179"/>
      <c r="G59" s="179"/>
      <c r="H59" s="187"/>
      <c r="I59" s="186"/>
      <c r="J59" s="182"/>
      <c r="K59" s="183"/>
      <c r="L59" s="119"/>
      <c r="M59" s="119"/>
      <c r="N59" s="119"/>
    </row>
    <row r="60" ht="15.75" customHeight="1">
      <c r="A60" s="119"/>
      <c r="B60" s="119"/>
      <c r="C60" s="119"/>
      <c r="D60" s="119"/>
      <c r="E60" s="119"/>
      <c r="F60" s="119"/>
      <c r="G60" s="119"/>
      <c r="H60" s="119"/>
      <c r="I60" s="119"/>
      <c r="J60" s="119"/>
      <c r="K60" s="119"/>
      <c r="L60" s="119"/>
      <c r="M60" s="119"/>
      <c r="N60" s="119"/>
    </row>
    <row r="61" ht="9.75" customHeight="1">
      <c r="A61" s="122"/>
      <c r="B61" s="122"/>
      <c r="C61" s="156"/>
      <c r="D61" s="156"/>
      <c r="E61" s="156"/>
      <c r="F61" s="156"/>
      <c r="G61" s="156"/>
      <c r="H61" s="156"/>
      <c r="I61" s="156"/>
      <c r="J61" s="156"/>
      <c r="K61" s="156"/>
      <c r="L61" s="156"/>
      <c r="M61" s="156"/>
      <c r="N61" s="156"/>
    </row>
    <row r="62" ht="34.5" customHeight="1">
      <c r="A62" s="122"/>
      <c r="B62" s="188" t="s">
        <v>705</v>
      </c>
      <c r="C62" s="156"/>
      <c r="D62" s="156"/>
      <c r="E62" s="156"/>
      <c r="F62" s="156"/>
      <c r="G62" s="156"/>
      <c r="H62" s="156"/>
      <c r="I62" s="156"/>
      <c r="J62" s="156"/>
      <c r="K62" s="156"/>
      <c r="L62" s="156"/>
      <c r="M62" s="156"/>
      <c r="N62" s="156"/>
    </row>
    <row r="63" ht="39.75" customHeight="1">
      <c r="A63" s="172"/>
      <c r="B63" s="189" t="s">
        <v>706</v>
      </c>
      <c r="C63" s="189" t="s">
        <v>707</v>
      </c>
      <c r="D63" s="190" t="s">
        <v>645</v>
      </c>
      <c r="E63" s="191" t="s">
        <v>698</v>
      </c>
      <c r="F63" s="191" t="s">
        <v>708</v>
      </c>
      <c r="G63" s="191" t="s">
        <v>709</v>
      </c>
      <c r="H63" s="191" t="s">
        <v>710</v>
      </c>
      <c r="I63" s="192" t="s">
        <v>701</v>
      </c>
      <c r="J63" s="193" t="s">
        <v>711</v>
      </c>
      <c r="K63" s="194" t="s">
        <v>712</v>
      </c>
      <c r="L63" s="176" t="s">
        <v>713</v>
      </c>
      <c r="M63" s="176" t="s">
        <v>652</v>
      </c>
      <c r="N63" s="172"/>
    </row>
    <row r="64">
      <c r="A64" s="119"/>
      <c r="B64" s="195"/>
      <c r="C64" s="196"/>
      <c r="D64" s="179"/>
      <c r="E64" s="179"/>
      <c r="F64" s="179"/>
      <c r="G64" s="179"/>
      <c r="H64" s="179"/>
      <c r="I64" s="179"/>
      <c r="J64" s="198"/>
      <c r="K64" s="199"/>
      <c r="L64" s="182"/>
      <c r="M64" s="183"/>
      <c r="N64" s="119"/>
    </row>
    <row r="65">
      <c r="A65" s="119"/>
      <c r="B65" s="202"/>
      <c r="C65" s="196"/>
      <c r="D65" s="179"/>
      <c r="E65" s="179"/>
      <c r="F65" s="179"/>
      <c r="G65" s="179"/>
      <c r="H65" s="179"/>
      <c r="I65" s="179"/>
      <c r="J65" s="198"/>
      <c r="K65" s="199"/>
      <c r="L65" s="182"/>
      <c r="M65" s="183"/>
      <c r="N65" s="119"/>
    </row>
    <row r="66">
      <c r="A66" s="119"/>
      <c r="B66" s="202"/>
      <c r="C66" s="196"/>
      <c r="D66" s="179"/>
      <c r="E66" s="179"/>
      <c r="F66" s="179"/>
      <c r="G66" s="179"/>
      <c r="H66" s="179"/>
      <c r="I66" s="179"/>
      <c r="J66" s="198"/>
      <c r="K66" s="199"/>
      <c r="L66" s="182"/>
      <c r="M66" s="183"/>
      <c r="N66" s="119"/>
    </row>
    <row r="67">
      <c r="A67" s="119"/>
      <c r="B67" s="202"/>
      <c r="C67" s="196"/>
      <c r="D67" s="179"/>
      <c r="E67" s="179"/>
      <c r="F67" s="179"/>
      <c r="G67" s="179"/>
      <c r="H67" s="179"/>
      <c r="I67" s="179"/>
      <c r="J67" s="201"/>
      <c r="K67" s="199"/>
      <c r="L67" s="182"/>
      <c r="M67" s="183"/>
      <c r="N67" s="119"/>
    </row>
    <row r="68">
      <c r="A68" s="119"/>
      <c r="B68" s="202"/>
      <c r="C68" s="196"/>
      <c r="D68" s="179"/>
      <c r="E68" s="179"/>
      <c r="F68" s="179"/>
      <c r="G68" s="179"/>
      <c r="H68" s="179"/>
      <c r="I68" s="179"/>
      <c r="J68" s="201"/>
      <c r="K68" s="199"/>
      <c r="L68" s="182"/>
      <c r="M68" s="183"/>
      <c r="N68" s="119"/>
    </row>
    <row r="69">
      <c r="A69" s="119"/>
      <c r="B69" s="202"/>
      <c r="C69" s="196"/>
      <c r="D69" s="179"/>
      <c r="E69" s="179"/>
      <c r="F69" s="179"/>
      <c r="G69" s="179"/>
      <c r="H69" s="179"/>
      <c r="I69" s="179"/>
      <c r="J69" s="201"/>
      <c r="K69" s="199"/>
      <c r="L69" s="182"/>
      <c r="M69" s="183"/>
      <c r="N69" s="119"/>
    </row>
    <row r="70">
      <c r="A70" s="119"/>
      <c r="B70" s="202"/>
      <c r="C70" s="196"/>
      <c r="D70" s="197"/>
      <c r="E70" s="179"/>
      <c r="F70" s="179"/>
      <c r="G70" s="179"/>
      <c r="H70" s="179"/>
      <c r="I70" s="179"/>
      <c r="J70" s="201"/>
      <c r="K70" s="199"/>
      <c r="L70" s="182"/>
      <c r="M70" s="183"/>
      <c r="N70" s="119"/>
    </row>
    <row r="71">
      <c r="A71" s="119"/>
      <c r="B71" s="202"/>
      <c r="C71" s="196"/>
      <c r="D71" s="197"/>
      <c r="E71" s="179"/>
      <c r="F71" s="179"/>
      <c r="G71" s="179"/>
      <c r="H71" s="179"/>
      <c r="I71" s="179"/>
      <c r="J71" s="201"/>
      <c r="K71" s="199"/>
      <c r="L71" s="182"/>
      <c r="M71" s="183"/>
      <c r="N71" s="119"/>
    </row>
    <row r="72">
      <c r="A72" s="119"/>
      <c r="B72" s="202"/>
      <c r="C72" s="196"/>
      <c r="D72" s="197"/>
      <c r="E72" s="179"/>
      <c r="F72" s="179"/>
      <c r="G72" s="179"/>
      <c r="H72" s="179"/>
      <c r="I72" s="179"/>
      <c r="J72" s="201"/>
      <c r="K72" s="199"/>
      <c r="L72" s="182"/>
      <c r="M72" s="183"/>
      <c r="N72" s="119"/>
    </row>
    <row r="73">
      <c r="A73" s="119"/>
      <c r="B73" s="202"/>
      <c r="C73" s="196"/>
      <c r="D73" s="197"/>
      <c r="E73" s="179"/>
      <c r="F73" s="179"/>
      <c r="G73" s="179"/>
      <c r="H73" s="179"/>
      <c r="I73" s="179"/>
      <c r="J73" s="201"/>
      <c r="K73" s="199"/>
      <c r="L73" s="182"/>
      <c r="M73" s="183"/>
      <c r="N73" s="119"/>
    </row>
    <row r="74">
      <c r="A74" s="119"/>
      <c r="B74" s="202"/>
      <c r="C74" s="196"/>
      <c r="D74" s="197"/>
      <c r="E74" s="179"/>
      <c r="F74" s="179"/>
      <c r="G74" s="179"/>
      <c r="H74" s="179"/>
      <c r="I74" s="179"/>
      <c r="J74" s="201"/>
      <c r="K74" s="199"/>
      <c r="L74" s="182"/>
      <c r="M74" s="183"/>
      <c r="N74" s="119"/>
    </row>
    <row r="75">
      <c r="A75" s="119"/>
      <c r="B75" s="202"/>
      <c r="C75" s="196"/>
      <c r="D75" s="197"/>
      <c r="E75" s="179"/>
      <c r="F75" s="179"/>
      <c r="G75" s="179"/>
      <c r="H75" s="179"/>
      <c r="I75" s="179"/>
      <c r="J75" s="201"/>
      <c r="K75" s="199"/>
      <c r="L75" s="182"/>
      <c r="M75" s="183"/>
      <c r="N75" s="119"/>
    </row>
    <row r="76">
      <c r="A76" s="119"/>
      <c r="B76" s="202"/>
      <c r="C76" s="196"/>
      <c r="D76" s="197"/>
      <c r="E76" s="179"/>
      <c r="F76" s="179"/>
      <c r="G76" s="179"/>
      <c r="H76" s="179"/>
      <c r="I76" s="179"/>
      <c r="J76" s="201"/>
      <c r="K76" s="199"/>
      <c r="L76" s="182"/>
      <c r="M76" s="183"/>
      <c r="N76" s="119"/>
    </row>
    <row r="77">
      <c r="A77" s="119"/>
      <c r="B77" s="202"/>
      <c r="C77" s="196"/>
      <c r="D77" s="197"/>
      <c r="E77" s="179"/>
      <c r="F77" s="179"/>
      <c r="G77" s="179"/>
      <c r="H77" s="179"/>
      <c r="I77" s="179"/>
      <c r="J77" s="201"/>
      <c r="K77" s="199"/>
      <c r="L77" s="182"/>
      <c r="M77" s="183"/>
      <c r="N77" s="119"/>
    </row>
    <row r="78">
      <c r="A78" s="119"/>
      <c r="B78" s="202"/>
      <c r="C78" s="196"/>
      <c r="D78" s="197"/>
      <c r="E78" s="179"/>
      <c r="F78" s="179"/>
      <c r="G78" s="179"/>
      <c r="H78" s="179"/>
      <c r="I78" s="179"/>
      <c r="J78" s="201"/>
      <c r="K78" s="199"/>
      <c r="L78" s="182"/>
      <c r="M78" s="183"/>
      <c r="N78" s="119"/>
    </row>
    <row r="79">
      <c r="A79" s="119"/>
      <c r="B79" s="202"/>
      <c r="C79" s="196"/>
      <c r="D79" s="197"/>
      <c r="E79" s="179"/>
      <c r="F79" s="179"/>
      <c r="G79" s="179"/>
      <c r="H79" s="179"/>
      <c r="I79" s="179"/>
      <c r="J79" s="201"/>
      <c r="K79" s="199"/>
      <c r="L79" s="182"/>
      <c r="M79" s="183"/>
      <c r="N79" s="119"/>
    </row>
    <row r="80">
      <c r="A80" s="119"/>
      <c r="B80" s="202"/>
      <c r="C80" s="196"/>
      <c r="D80" s="197"/>
      <c r="E80" s="179"/>
      <c r="F80" s="179"/>
      <c r="G80" s="179"/>
      <c r="H80" s="179"/>
      <c r="I80" s="179"/>
      <c r="J80" s="201"/>
      <c r="K80" s="199"/>
      <c r="L80" s="182"/>
      <c r="M80" s="183"/>
      <c r="N80" s="119"/>
    </row>
    <row r="81">
      <c r="A81" s="119"/>
      <c r="B81" s="202"/>
      <c r="C81" s="196"/>
      <c r="D81" s="197"/>
      <c r="E81" s="179"/>
      <c r="F81" s="179"/>
      <c r="G81" s="179"/>
      <c r="H81" s="179"/>
      <c r="I81" s="179"/>
      <c r="J81" s="201"/>
      <c r="K81" s="199"/>
      <c r="L81" s="182"/>
      <c r="M81" s="183"/>
      <c r="N81" s="119"/>
    </row>
    <row r="82">
      <c r="A82" s="119"/>
      <c r="B82" s="202"/>
      <c r="C82" s="196"/>
      <c r="D82" s="197"/>
      <c r="E82" s="179"/>
      <c r="F82" s="179"/>
      <c r="G82" s="179"/>
      <c r="H82" s="179"/>
      <c r="I82" s="179"/>
      <c r="J82" s="201"/>
      <c r="K82" s="199"/>
      <c r="L82" s="182"/>
      <c r="M82" s="183"/>
      <c r="N82" s="119"/>
    </row>
    <row r="83">
      <c r="A83" s="119"/>
      <c r="B83" s="202"/>
      <c r="C83" s="196"/>
      <c r="D83" s="197"/>
      <c r="E83" s="179"/>
      <c r="F83" s="179"/>
      <c r="G83" s="179"/>
      <c r="H83" s="179"/>
      <c r="I83" s="179"/>
      <c r="J83" s="201"/>
      <c r="K83" s="199"/>
      <c r="L83" s="182"/>
      <c r="M83" s="183"/>
      <c r="N83" s="119"/>
    </row>
    <row r="84">
      <c r="A84" s="119"/>
      <c r="B84" s="202"/>
      <c r="C84" s="196"/>
      <c r="D84" s="197"/>
      <c r="E84" s="179"/>
      <c r="F84" s="179"/>
      <c r="G84" s="179"/>
      <c r="H84" s="179"/>
      <c r="I84" s="179"/>
      <c r="J84" s="201"/>
      <c r="K84" s="199"/>
      <c r="L84" s="182"/>
      <c r="M84" s="183"/>
      <c r="N84" s="119"/>
    </row>
    <row r="85">
      <c r="A85" s="119"/>
      <c r="B85" s="202"/>
      <c r="C85" s="196"/>
      <c r="D85" s="197"/>
      <c r="E85" s="179"/>
      <c r="F85" s="179"/>
      <c r="G85" s="179"/>
      <c r="H85" s="179"/>
      <c r="I85" s="179"/>
      <c r="J85" s="201"/>
      <c r="K85" s="199"/>
      <c r="L85" s="182"/>
      <c r="M85" s="183"/>
      <c r="N85" s="119"/>
    </row>
    <row r="86">
      <c r="A86" s="119"/>
      <c r="B86" s="202"/>
      <c r="C86" s="196"/>
      <c r="D86" s="197"/>
      <c r="E86" s="179"/>
      <c r="F86" s="179"/>
      <c r="G86" s="179"/>
      <c r="H86" s="179"/>
      <c r="I86" s="179"/>
      <c r="J86" s="201"/>
      <c r="K86" s="199"/>
      <c r="L86" s="182"/>
      <c r="M86" s="183"/>
      <c r="N86" s="119"/>
    </row>
    <row r="87">
      <c r="A87" s="119"/>
      <c r="B87" s="202"/>
      <c r="C87" s="196"/>
      <c r="D87" s="197"/>
      <c r="E87" s="179"/>
      <c r="F87" s="179"/>
      <c r="G87" s="179"/>
      <c r="H87" s="179"/>
      <c r="I87" s="179"/>
      <c r="J87" s="201"/>
      <c r="K87" s="199"/>
      <c r="L87" s="182"/>
      <c r="M87" s="183"/>
      <c r="N87" s="119"/>
    </row>
    <row r="88">
      <c r="A88" s="119"/>
      <c r="B88" s="202"/>
      <c r="C88" s="196"/>
      <c r="D88" s="197"/>
      <c r="E88" s="179"/>
      <c r="F88" s="179"/>
      <c r="G88" s="179"/>
      <c r="H88" s="179"/>
      <c r="I88" s="179"/>
      <c r="J88" s="201"/>
      <c r="K88" s="199"/>
      <c r="L88" s="182"/>
      <c r="M88" s="183"/>
      <c r="N88" s="119"/>
    </row>
    <row r="89">
      <c r="A89" s="119"/>
      <c r="B89" s="202"/>
      <c r="C89" s="196"/>
      <c r="D89" s="197"/>
      <c r="E89" s="179"/>
      <c r="F89" s="179"/>
      <c r="G89" s="179"/>
      <c r="H89" s="179"/>
      <c r="I89" s="179"/>
      <c r="J89" s="201"/>
      <c r="K89" s="199"/>
      <c r="L89" s="182"/>
      <c r="M89" s="183"/>
      <c r="N89" s="119"/>
    </row>
    <row r="90">
      <c r="A90" s="119"/>
      <c r="B90" s="202"/>
      <c r="C90" s="196"/>
      <c r="D90" s="197"/>
      <c r="E90" s="179"/>
      <c r="F90" s="179"/>
      <c r="G90" s="179"/>
      <c r="H90" s="179"/>
      <c r="I90" s="179"/>
      <c r="J90" s="201"/>
      <c r="K90" s="199"/>
      <c r="L90" s="182"/>
      <c r="M90" s="183"/>
      <c r="N90" s="119"/>
    </row>
    <row r="91">
      <c r="A91" s="119"/>
      <c r="B91" s="202"/>
      <c r="C91" s="196"/>
      <c r="D91" s="197"/>
      <c r="E91" s="179"/>
      <c r="F91" s="179"/>
      <c r="G91" s="179"/>
      <c r="H91" s="179"/>
      <c r="I91" s="179"/>
      <c r="J91" s="201"/>
      <c r="K91" s="199"/>
      <c r="L91" s="182"/>
      <c r="M91" s="183"/>
      <c r="N91" s="119"/>
    </row>
    <row r="92">
      <c r="A92" s="119"/>
      <c r="B92" s="202"/>
      <c r="C92" s="196"/>
      <c r="D92" s="197"/>
      <c r="E92" s="179"/>
      <c r="F92" s="179"/>
      <c r="G92" s="179"/>
      <c r="H92" s="179"/>
      <c r="I92" s="179"/>
      <c r="J92" s="201"/>
      <c r="K92" s="199"/>
      <c r="L92" s="182"/>
      <c r="M92" s="183"/>
      <c r="N92" s="119"/>
    </row>
    <row r="93">
      <c r="A93" s="119"/>
      <c r="B93" s="202"/>
      <c r="C93" s="196"/>
      <c r="D93" s="197"/>
      <c r="E93" s="179"/>
      <c r="F93" s="179"/>
      <c r="G93" s="179"/>
      <c r="H93" s="179"/>
      <c r="I93" s="179"/>
      <c r="J93" s="201"/>
      <c r="K93" s="199"/>
      <c r="L93" s="182"/>
      <c r="M93" s="183"/>
      <c r="N93" s="119"/>
    </row>
    <row r="94">
      <c r="A94" s="119"/>
      <c r="B94" s="202"/>
      <c r="C94" s="196"/>
      <c r="D94" s="197"/>
      <c r="E94" s="179"/>
      <c r="F94" s="179"/>
      <c r="G94" s="179"/>
      <c r="H94" s="179"/>
      <c r="I94" s="179"/>
      <c r="J94" s="201"/>
      <c r="K94" s="199"/>
      <c r="L94" s="182"/>
      <c r="M94" s="183"/>
      <c r="N94" s="119"/>
    </row>
    <row r="95">
      <c r="A95" s="119"/>
      <c r="B95" s="202"/>
      <c r="C95" s="196"/>
      <c r="D95" s="197"/>
      <c r="E95" s="179"/>
      <c r="F95" s="179"/>
      <c r="G95" s="179"/>
      <c r="H95" s="179"/>
      <c r="I95" s="179"/>
      <c r="J95" s="201"/>
      <c r="K95" s="199"/>
      <c r="L95" s="182"/>
      <c r="M95" s="183"/>
      <c r="N95" s="119"/>
    </row>
    <row r="96">
      <c r="A96" s="119"/>
      <c r="B96" s="202"/>
      <c r="C96" s="196"/>
      <c r="D96" s="197"/>
      <c r="E96" s="179"/>
      <c r="F96" s="179"/>
      <c r="G96" s="179"/>
      <c r="H96" s="179"/>
      <c r="I96" s="179"/>
      <c r="J96" s="201"/>
      <c r="K96" s="199"/>
      <c r="L96" s="182"/>
      <c r="M96" s="183"/>
      <c r="N96" s="119"/>
    </row>
    <row r="97">
      <c r="A97" s="119"/>
      <c r="B97" s="202"/>
      <c r="C97" s="196"/>
      <c r="D97" s="197"/>
      <c r="E97" s="179"/>
      <c r="F97" s="179"/>
      <c r="G97" s="179"/>
      <c r="H97" s="179"/>
      <c r="I97" s="179"/>
      <c r="J97" s="201"/>
      <c r="K97" s="199"/>
      <c r="L97" s="182"/>
      <c r="M97" s="183"/>
      <c r="N97" s="119"/>
    </row>
    <row r="98">
      <c r="A98" s="119"/>
      <c r="B98" s="202"/>
      <c r="C98" s="196"/>
      <c r="D98" s="197"/>
      <c r="E98" s="179"/>
      <c r="F98" s="179"/>
      <c r="G98" s="179"/>
      <c r="H98" s="179"/>
      <c r="I98" s="179"/>
      <c r="J98" s="201"/>
      <c r="K98" s="199"/>
      <c r="L98" s="182"/>
      <c r="M98" s="183"/>
      <c r="N98" s="119"/>
    </row>
    <row r="99">
      <c r="A99" s="119"/>
      <c r="B99" s="202"/>
      <c r="C99" s="196"/>
      <c r="D99" s="197"/>
      <c r="E99" s="179"/>
      <c r="F99" s="179"/>
      <c r="G99" s="179"/>
      <c r="H99" s="179"/>
      <c r="I99" s="179"/>
      <c r="J99" s="201"/>
      <c r="K99" s="199"/>
      <c r="L99" s="182"/>
      <c r="M99" s="183"/>
      <c r="N99" s="119"/>
    </row>
    <row r="100">
      <c r="A100" s="119"/>
      <c r="B100" s="202"/>
      <c r="C100" s="196"/>
      <c r="D100" s="197"/>
      <c r="E100" s="179"/>
      <c r="F100" s="179"/>
      <c r="G100" s="179"/>
      <c r="H100" s="179"/>
      <c r="I100" s="179"/>
      <c r="J100" s="201"/>
      <c r="K100" s="199"/>
      <c r="L100" s="182"/>
      <c r="M100" s="183"/>
      <c r="N100" s="119"/>
    </row>
    <row r="101">
      <c r="A101" s="119"/>
      <c r="B101" s="202"/>
      <c r="C101" s="196"/>
      <c r="D101" s="197"/>
      <c r="E101" s="179"/>
      <c r="F101" s="179"/>
      <c r="G101" s="179"/>
      <c r="H101" s="179"/>
      <c r="I101" s="179"/>
      <c r="J101" s="201"/>
      <c r="K101" s="199"/>
      <c r="L101" s="182"/>
      <c r="M101" s="183"/>
      <c r="N101" s="119"/>
    </row>
    <row r="102">
      <c r="A102" s="119"/>
      <c r="B102" s="202"/>
      <c r="C102" s="196"/>
      <c r="D102" s="197"/>
      <c r="E102" s="179"/>
      <c r="F102" s="179"/>
      <c r="G102" s="179"/>
      <c r="H102" s="179"/>
      <c r="I102" s="179"/>
      <c r="J102" s="201"/>
      <c r="K102" s="199"/>
      <c r="L102" s="182"/>
      <c r="M102" s="183"/>
      <c r="N102" s="119"/>
    </row>
    <row r="103">
      <c r="A103" s="119"/>
      <c r="B103" s="202"/>
      <c r="C103" s="196"/>
      <c r="D103" s="197"/>
      <c r="E103" s="179"/>
      <c r="F103" s="179"/>
      <c r="G103" s="179"/>
      <c r="H103" s="179"/>
      <c r="I103" s="179"/>
      <c r="J103" s="201"/>
      <c r="K103" s="199"/>
      <c r="L103" s="182"/>
      <c r="M103" s="183"/>
      <c r="N103" s="119"/>
    </row>
    <row r="104">
      <c r="A104" s="119"/>
      <c r="B104" s="202"/>
      <c r="C104" s="196"/>
      <c r="D104" s="197"/>
      <c r="E104" s="179"/>
      <c r="F104" s="179"/>
      <c r="G104" s="179"/>
      <c r="H104" s="179"/>
      <c r="I104" s="179"/>
      <c r="J104" s="201"/>
      <c r="K104" s="199"/>
      <c r="L104" s="182"/>
      <c r="M104" s="183"/>
      <c r="N104" s="119"/>
    </row>
    <row r="105">
      <c r="A105" s="119"/>
      <c r="B105" s="202"/>
      <c r="C105" s="196"/>
      <c r="D105" s="197"/>
      <c r="E105" s="179"/>
      <c r="F105" s="179"/>
      <c r="G105" s="179"/>
      <c r="H105" s="179"/>
      <c r="I105" s="179"/>
      <c r="J105" s="201"/>
      <c r="K105" s="199"/>
      <c r="L105" s="182"/>
      <c r="M105" s="183"/>
      <c r="N105" s="119"/>
    </row>
    <row r="106">
      <c r="A106" s="119"/>
      <c r="B106" s="202"/>
      <c r="C106" s="196"/>
      <c r="D106" s="197"/>
      <c r="E106" s="179"/>
      <c r="F106" s="179"/>
      <c r="G106" s="179"/>
      <c r="H106" s="179"/>
      <c r="I106" s="179"/>
      <c r="J106" s="201"/>
      <c r="K106" s="199"/>
      <c r="L106" s="182"/>
      <c r="M106" s="183"/>
      <c r="N106" s="119"/>
    </row>
    <row r="107">
      <c r="A107" s="119"/>
      <c r="B107" s="202"/>
      <c r="C107" s="196"/>
      <c r="D107" s="197"/>
      <c r="E107" s="179"/>
      <c r="F107" s="179"/>
      <c r="G107" s="179"/>
      <c r="H107" s="179"/>
      <c r="I107" s="179"/>
      <c r="J107" s="201"/>
      <c r="K107" s="199"/>
      <c r="L107" s="182"/>
      <c r="M107" s="183"/>
      <c r="N107" s="119"/>
    </row>
    <row r="108">
      <c r="A108" s="119"/>
      <c r="B108" s="202"/>
      <c r="C108" s="196"/>
      <c r="D108" s="197"/>
      <c r="E108" s="179"/>
      <c r="F108" s="179"/>
      <c r="G108" s="179"/>
      <c r="H108" s="179"/>
      <c r="I108" s="179"/>
      <c r="J108" s="201"/>
      <c r="K108" s="199"/>
      <c r="L108" s="182"/>
      <c r="M108" s="183"/>
      <c r="N108" s="119"/>
    </row>
    <row r="109">
      <c r="A109" s="119"/>
      <c r="B109" s="202"/>
      <c r="C109" s="196"/>
      <c r="D109" s="197"/>
      <c r="E109" s="179"/>
      <c r="F109" s="179"/>
      <c r="G109" s="179"/>
      <c r="H109" s="179"/>
      <c r="I109" s="179"/>
      <c r="J109" s="201"/>
      <c r="K109" s="199"/>
      <c r="L109" s="182"/>
      <c r="M109" s="183"/>
      <c r="N109" s="119"/>
    </row>
    <row r="110">
      <c r="A110" s="119"/>
      <c r="B110" s="202"/>
      <c r="C110" s="196"/>
      <c r="D110" s="197"/>
      <c r="E110" s="179"/>
      <c r="F110" s="179"/>
      <c r="G110" s="179"/>
      <c r="H110" s="179"/>
      <c r="I110" s="179"/>
      <c r="J110" s="201"/>
      <c r="K110" s="199"/>
      <c r="L110" s="182"/>
      <c r="M110" s="183"/>
      <c r="N110" s="119"/>
    </row>
    <row r="111">
      <c r="A111" s="119"/>
      <c r="B111" s="202"/>
      <c r="C111" s="196"/>
      <c r="D111" s="197"/>
      <c r="E111" s="179"/>
      <c r="F111" s="179"/>
      <c r="G111" s="179"/>
      <c r="H111" s="179"/>
      <c r="I111" s="179"/>
      <c r="J111" s="201"/>
      <c r="K111" s="199"/>
      <c r="L111" s="182"/>
      <c r="M111" s="183"/>
      <c r="N111" s="119"/>
    </row>
    <row r="112">
      <c r="A112" s="119"/>
      <c r="B112" s="202"/>
      <c r="C112" s="196"/>
      <c r="D112" s="197"/>
      <c r="E112" s="179"/>
      <c r="F112" s="179"/>
      <c r="G112" s="179"/>
      <c r="H112" s="179"/>
      <c r="I112" s="179"/>
      <c r="J112" s="201"/>
      <c r="K112" s="199"/>
      <c r="L112" s="182"/>
      <c r="M112" s="183"/>
      <c r="N112" s="119"/>
    </row>
    <row r="113">
      <c r="A113" s="119"/>
      <c r="B113" s="202"/>
      <c r="C113" s="196"/>
      <c r="D113" s="197"/>
      <c r="E113" s="179"/>
      <c r="F113" s="179"/>
      <c r="G113" s="179"/>
      <c r="H113" s="179"/>
      <c r="I113" s="179"/>
      <c r="J113" s="201"/>
      <c r="K113" s="199"/>
      <c r="L113" s="182"/>
      <c r="M113" s="183"/>
      <c r="N113" s="119"/>
    </row>
    <row r="114">
      <c r="A114" s="119"/>
      <c r="B114" s="202"/>
      <c r="C114" s="196"/>
      <c r="D114" s="197"/>
      <c r="E114" s="179"/>
      <c r="F114" s="179"/>
      <c r="G114" s="179"/>
      <c r="H114" s="179"/>
      <c r="I114" s="179"/>
      <c r="J114" s="201"/>
      <c r="K114" s="199"/>
      <c r="L114" s="182"/>
      <c r="M114" s="183"/>
      <c r="N114" s="119"/>
    </row>
    <row r="115">
      <c r="A115" s="119"/>
      <c r="B115" s="202"/>
      <c r="C115" s="196"/>
      <c r="D115" s="197"/>
      <c r="E115" s="179"/>
      <c r="F115" s="179"/>
      <c r="G115" s="179"/>
      <c r="H115" s="179"/>
      <c r="I115" s="179"/>
      <c r="J115" s="201"/>
      <c r="K115" s="199"/>
      <c r="L115" s="182"/>
      <c r="M115" s="183"/>
      <c r="N115" s="119"/>
    </row>
    <row r="116">
      <c r="A116" s="119"/>
      <c r="B116" s="202"/>
      <c r="C116" s="196"/>
      <c r="D116" s="197"/>
      <c r="E116" s="179"/>
      <c r="F116" s="179"/>
      <c r="G116" s="179"/>
      <c r="H116" s="179"/>
      <c r="I116" s="179"/>
      <c r="J116" s="201"/>
      <c r="K116" s="199"/>
      <c r="L116" s="182"/>
      <c r="M116" s="183"/>
      <c r="N116" s="119"/>
    </row>
    <row r="117">
      <c r="A117" s="119"/>
      <c r="B117" s="202"/>
      <c r="C117" s="196"/>
      <c r="D117" s="197"/>
      <c r="E117" s="179"/>
      <c r="F117" s="179"/>
      <c r="G117" s="179"/>
      <c r="H117" s="179"/>
      <c r="I117" s="179"/>
      <c r="J117" s="201"/>
      <c r="K117" s="199"/>
      <c r="L117" s="182"/>
      <c r="M117" s="183"/>
      <c r="N117" s="119"/>
    </row>
    <row r="118">
      <c r="A118" s="119"/>
      <c r="B118" s="202"/>
      <c r="C118" s="196"/>
      <c r="D118" s="197"/>
      <c r="E118" s="179"/>
      <c r="F118" s="179"/>
      <c r="G118" s="179"/>
      <c r="H118" s="179"/>
      <c r="I118" s="179"/>
      <c r="J118" s="201"/>
      <c r="K118" s="199"/>
      <c r="L118" s="182"/>
      <c r="M118" s="183"/>
      <c r="N118" s="119"/>
    </row>
    <row r="119">
      <c r="A119" s="119"/>
      <c r="B119" s="202"/>
      <c r="C119" s="196"/>
      <c r="D119" s="197"/>
      <c r="E119" s="179"/>
      <c r="F119" s="179"/>
      <c r="G119" s="179"/>
      <c r="H119" s="179"/>
      <c r="I119" s="179"/>
      <c r="J119" s="201"/>
      <c r="K119" s="199"/>
      <c r="L119" s="182"/>
      <c r="M119" s="183"/>
      <c r="N119" s="119"/>
    </row>
    <row r="120">
      <c r="A120" s="119"/>
      <c r="B120" s="202"/>
      <c r="C120" s="196"/>
      <c r="D120" s="197"/>
      <c r="E120" s="179"/>
      <c r="F120" s="179"/>
      <c r="G120" s="179"/>
      <c r="H120" s="179"/>
      <c r="I120" s="179"/>
      <c r="J120" s="201"/>
      <c r="K120" s="199"/>
      <c r="L120" s="182"/>
      <c r="M120" s="183"/>
      <c r="N120" s="119"/>
    </row>
    <row r="121">
      <c r="A121" s="119"/>
      <c r="B121" s="202"/>
      <c r="C121" s="196"/>
      <c r="D121" s="197"/>
      <c r="E121" s="179"/>
      <c r="F121" s="179"/>
      <c r="G121" s="179"/>
      <c r="H121" s="179"/>
      <c r="I121" s="179"/>
      <c r="J121" s="201"/>
      <c r="K121" s="199"/>
      <c r="L121" s="182"/>
      <c r="M121" s="183"/>
      <c r="N121" s="119"/>
    </row>
    <row r="122">
      <c r="A122" s="119"/>
      <c r="B122" s="202"/>
      <c r="C122" s="196"/>
      <c r="D122" s="197"/>
      <c r="E122" s="179"/>
      <c r="F122" s="179"/>
      <c r="G122" s="179"/>
      <c r="H122" s="179"/>
      <c r="I122" s="179"/>
      <c r="J122" s="201"/>
      <c r="K122" s="199"/>
      <c r="L122" s="182"/>
      <c r="M122" s="183"/>
      <c r="N122" s="119"/>
    </row>
    <row r="123">
      <c r="A123" s="119"/>
      <c r="B123" s="202"/>
      <c r="C123" s="196"/>
      <c r="D123" s="197"/>
      <c r="E123" s="179"/>
      <c r="F123" s="179"/>
      <c r="G123" s="179"/>
      <c r="H123" s="179"/>
      <c r="I123" s="179"/>
      <c r="J123" s="201"/>
      <c r="K123" s="199"/>
      <c r="L123" s="182"/>
      <c r="M123" s="183"/>
      <c r="N123" s="119"/>
    </row>
    <row r="124">
      <c r="A124" s="119"/>
      <c r="B124" s="202"/>
      <c r="C124" s="196"/>
      <c r="D124" s="197"/>
      <c r="E124" s="179"/>
      <c r="F124" s="179"/>
      <c r="G124" s="179"/>
      <c r="H124" s="179"/>
      <c r="I124" s="179"/>
      <c r="J124" s="201"/>
      <c r="K124" s="199"/>
      <c r="L124" s="182"/>
      <c r="M124" s="183"/>
      <c r="N124" s="119"/>
    </row>
    <row r="125">
      <c r="A125" s="119"/>
      <c r="B125" s="202"/>
      <c r="C125" s="196"/>
      <c r="D125" s="197"/>
      <c r="E125" s="179"/>
      <c r="F125" s="179"/>
      <c r="G125" s="179"/>
      <c r="H125" s="179"/>
      <c r="I125" s="179"/>
      <c r="J125" s="201"/>
      <c r="K125" s="199"/>
      <c r="L125" s="182"/>
      <c r="M125" s="183"/>
      <c r="N125" s="119"/>
    </row>
    <row r="126">
      <c r="A126" s="119"/>
      <c r="B126" s="202"/>
      <c r="C126" s="196"/>
      <c r="D126" s="197"/>
      <c r="E126" s="179"/>
      <c r="F126" s="179"/>
      <c r="G126" s="179"/>
      <c r="H126" s="179"/>
      <c r="I126" s="179"/>
      <c r="J126" s="201"/>
      <c r="K126" s="199"/>
      <c r="L126" s="182"/>
      <c r="M126" s="183"/>
      <c r="N126" s="119"/>
    </row>
    <row r="127">
      <c r="A127" s="119"/>
      <c r="B127" s="202"/>
      <c r="C127" s="196"/>
      <c r="D127" s="197"/>
      <c r="E127" s="179"/>
      <c r="F127" s="179"/>
      <c r="G127" s="179"/>
      <c r="H127" s="179"/>
      <c r="I127" s="179"/>
      <c r="J127" s="201"/>
      <c r="K127" s="199"/>
      <c r="L127" s="182"/>
      <c r="M127" s="183"/>
      <c r="N127" s="119"/>
    </row>
    <row r="128">
      <c r="A128" s="119"/>
      <c r="B128" s="202"/>
      <c r="C128" s="196"/>
      <c r="D128" s="197"/>
      <c r="E128" s="179"/>
      <c r="F128" s="179"/>
      <c r="G128" s="179"/>
      <c r="H128" s="179"/>
      <c r="I128" s="179"/>
      <c r="J128" s="201"/>
      <c r="K128" s="199"/>
      <c r="L128" s="182"/>
      <c r="M128" s="183"/>
      <c r="N128" s="119"/>
    </row>
    <row r="129">
      <c r="A129" s="119"/>
      <c r="B129" s="202"/>
      <c r="C129" s="196"/>
      <c r="D129" s="197"/>
      <c r="E129" s="179"/>
      <c r="F129" s="179"/>
      <c r="G129" s="179"/>
      <c r="H129" s="179"/>
      <c r="I129" s="179"/>
      <c r="J129" s="201"/>
      <c r="K129" s="199"/>
      <c r="L129" s="182"/>
      <c r="M129" s="183"/>
      <c r="N129" s="119"/>
    </row>
    <row r="130">
      <c r="A130" s="119"/>
      <c r="B130" s="202"/>
      <c r="C130" s="196"/>
      <c r="D130" s="197"/>
      <c r="E130" s="179"/>
      <c r="F130" s="179"/>
      <c r="G130" s="179"/>
      <c r="H130" s="179"/>
      <c r="I130" s="179"/>
      <c r="J130" s="201"/>
      <c r="K130" s="199"/>
      <c r="L130" s="182"/>
      <c r="M130" s="183"/>
      <c r="N130" s="119"/>
    </row>
    <row r="131">
      <c r="A131" s="119"/>
      <c r="B131" s="202"/>
      <c r="C131" s="196"/>
      <c r="D131" s="197"/>
      <c r="E131" s="179"/>
      <c r="F131" s="179"/>
      <c r="G131" s="179"/>
      <c r="H131" s="179"/>
      <c r="I131" s="179"/>
      <c r="J131" s="201"/>
      <c r="K131" s="199"/>
      <c r="L131" s="182"/>
      <c r="M131" s="183"/>
      <c r="N131" s="119"/>
    </row>
    <row r="132">
      <c r="A132" s="119"/>
      <c r="B132" s="202"/>
      <c r="C132" s="196"/>
      <c r="D132" s="197"/>
      <c r="E132" s="179"/>
      <c r="F132" s="179"/>
      <c r="G132" s="179"/>
      <c r="H132" s="179"/>
      <c r="I132" s="179"/>
      <c r="J132" s="201"/>
      <c r="K132" s="199"/>
      <c r="L132" s="182"/>
      <c r="M132" s="183"/>
      <c r="N132" s="119"/>
    </row>
    <row r="133">
      <c r="A133" s="119"/>
      <c r="B133" s="202"/>
      <c r="C133" s="196"/>
      <c r="D133" s="197"/>
      <c r="E133" s="179"/>
      <c r="F133" s="179"/>
      <c r="G133" s="179"/>
      <c r="H133" s="179"/>
      <c r="I133" s="179"/>
      <c r="J133" s="201"/>
      <c r="K133" s="199"/>
      <c r="L133" s="182"/>
      <c r="M133" s="183"/>
      <c r="N133" s="119"/>
    </row>
    <row r="134">
      <c r="A134" s="119"/>
      <c r="B134" s="202"/>
      <c r="C134" s="196"/>
      <c r="D134" s="197"/>
      <c r="E134" s="179"/>
      <c r="F134" s="179"/>
      <c r="G134" s="179"/>
      <c r="H134" s="179"/>
      <c r="I134" s="179"/>
      <c r="J134" s="201"/>
      <c r="K134" s="199"/>
      <c r="L134" s="182"/>
      <c r="M134" s="183"/>
      <c r="N134" s="119"/>
    </row>
    <row r="135">
      <c r="A135" s="119"/>
      <c r="B135" s="202"/>
      <c r="C135" s="196"/>
      <c r="D135" s="197"/>
      <c r="E135" s="179"/>
      <c r="F135" s="179"/>
      <c r="G135" s="179"/>
      <c r="H135" s="179"/>
      <c r="I135" s="179"/>
      <c r="J135" s="201"/>
      <c r="K135" s="199"/>
      <c r="L135" s="182"/>
      <c r="M135" s="183"/>
      <c r="N135" s="119"/>
    </row>
    <row r="136">
      <c r="A136" s="119"/>
      <c r="B136" s="202"/>
      <c r="C136" s="196"/>
      <c r="D136" s="197"/>
      <c r="E136" s="179"/>
      <c r="F136" s="179"/>
      <c r="G136" s="179"/>
      <c r="H136" s="179"/>
      <c r="I136" s="179"/>
      <c r="J136" s="201"/>
      <c r="K136" s="199"/>
      <c r="L136" s="182"/>
      <c r="M136" s="183"/>
      <c r="N136" s="119"/>
    </row>
    <row r="137">
      <c r="A137" s="119"/>
      <c r="B137" s="202"/>
      <c r="C137" s="196"/>
      <c r="D137" s="197"/>
      <c r="E137" s="179"/>
      <c r="F137" s="179"/>
      <c r="G137" s="179"/>
      <c r="H137" s="179"/>
      <c r="I137" s="179"/>
      <c r="J137" s="201"/>
      <c r="K137" s="199"/>
      <c r="L137" s="182"/>
      <c r="M137" s="183"/>
      <c r="N137" s="119"/>
    </row>
    <row r="138">
      <c r="A138" s="119"/>
      <c r="B138" s="202"/>
      <c r="C138" s="196"/>
      <c r="D138" s="197"/>
      <c r="E138" s="179"/>
      <c r="F138" s="179"/>
      <c r="G138" s="179"/>
      <c r="H138" s="179"/>
      <c r="I138" s="179"/>
      <c r="J138" s="201"/>
      <c r="K138" s="199"/>
      <c r="L138" s="182"/>
      <c r="M138" s="183"/>
      <c r="N138" s="119"/>
    </row>
    <row r="139">
      <c r="A139" s="119"/>
      <c r="B139" s="202"/>
      <c r="C139" s="196"/>
      <c r="D139" s="197"/>
      <c r="E139" s="179"/>
      <c r="F139" s="179"/>
      <c r="G139" s="179"/>
      <c r="H139" s="179"/>
      <c r="I139" s="179"/>
      <c r="J139" s="201"/>
      <c r="K139" s="199"/>
      <c r="L139" s="182"/>
      <c r="M139" s="183"/>
      <c r="N139" s="119"/>
    </row>
    <row r="140">
      <c r="A140" s="119"/>
      <c r="B140" s="202"/>
      <c r="C140" s="196"/>
      <c r="D140" s="197"/>
      <c r="E140" s="179"/>
      <c r="F140" s="179"/>
      <c r="G140" s="179"/>
      <c r="H140" s="179"/>
      <c r="I140" s="179"/>
      <c r="J140" s="201"/>
      <c r="K140" s="199"/>
      <c r="L140" s="182"/>
      <c r="M140" s="183"/>
      <c r="N140" s="119"/>
    </row>
    <row r="141">
      <c r="A141" s="119"/>
      <c r="B141" s="202"/>
      <c r="C141" s="196"/>
      <c r="D141" s="197"/>
      <c r="E141" s="179"/>
      <c r="F141" s="179"/>
      <c r="G141" s="179"/>
      <c r="H141" s="179"/>
      <c r="I141" s="179"/>
      <c r="J141" s="201"/>
      <c r="K141" s="199"/>
      <c r="L141" s="182"/>
      <c r="M141" s="183"/>
      <c r="N141" s="119"/>
    </row>
    <row r="142">
      <c r="A142" s="119"/>
      <c r="B142" s="202"/>
      <c r="C142" s="196"/>
      <c r="D142" s="197"/>
      <c r="E142" s="179"/>
      <c r="F142" s="179"/>
      <c r="G142" s="179"/>
      <c r="H142" s="179"/>
      <c r="I142" s="179"/>
      <c r="J142" s="201"/>
      <c r="K142" s="199"/>
      <c r="L142" s="182"/>
      <c r="M142" s="183"/>
      <c r="N142" s="119"/>
    </row>
    <row r="143">
      <c r="A143" s="119"/>
      <c r="B143" s="202"/>
      <c r="C143" s="196"/>
      <c r="D143" s="197"/>
      <c r="E143" s="179"/>
      <c r="F143" s="179"/>
      <c r="G143" s="179"/>
      <c r="H143" s="179"/>
      <c r="I143" s="179"/>
      <c r="J143" s="201"/>
      <c r="K143" s="199"/>
      <c r="L143" s="182"/>
      <c r="M143" s="183"/>
      <c r="N143" s="119"/>
    </row>
    <row r="144">
      <c r="A144" s="119"/>
      <c r="B144" s="202"/>
      <c r="C144" s="196"/>
      <c r="D144" s="197"/>
      <c r="E144" s="179"/>
      <c r="F144" s="179"/>
      <c r="G144" s="179"/>
      <c r="H144" s="179"/>
      <c r="I144" s="179"/>
      <c r="J144" s="201"/>
      <c r="K144" s="199"/>
      <c r="L144" s="182"/>
      <c r="M144" s="183"/>
      <c r="N144" s="119"/>
    </row>
    <row r="145">
      <c r="A145" s="119"/>
      <c r="B145" s="202"/>
      <c r="C145" s="196"/>
      <c r="D145" s="197"/>
      <c r="E145" s="179"/>
      <c r="F145" s="179"/>
      <c r="G145" s="179"/>
      <c r="H145" s="179"/>
      <c r="I145" s="179"/>
      <c r="J145" s="201"/>
      <c r="K145" s="199"/>
      <c r="L145" s="182"/>
      <c r="M145" s="183"/>
      <c r="N145" s="119"/>
    </row>
    <row r="146">
      <c r="A146" s="119"/>
      <c r="B146" s="202"/>
      <c r="C146" s="196"/>
      <c r="D146" s="197"/>
      <c r="E146" s="179"/>
      <c r="F146" s="179"/>
      <c r="G146" s="179"/>
      <c r="H146" s="179"/>
      <c r="I146" s="179"/>
      <c r="J146" s="201"/>
      <c r="K146" s="199"/>
      <c r="L146" s="182"/>
      <c r="M146" s="183"/>
      <c r="N146" s="119"/>
    </row>
    <row r="147">
      <c r="A147" s="119"/>
      <c r="B147" s="202"/>
      <c r="C147" s="196"/>
      <c r="D147" s="197"/>
      <c r="E147" s="179"/>
      <c r="F147" s="179"/>
      <c r="G147" s="179"/>
      <c r="H147" s="179"/>
      <c r="I147" s="179"/>
      <c r="J147" s="201"/>
      <c r="K147" s="199"/>
      <c r="L147" s="182"/>
      <c r="M147" s="183"/>
      <c r="N147" s="119"/>
    </row>
    <row r="148">
      <c r="A148" s="119"/>
      <c r="B148" s="202"/>
      <c r="C148" s="196"/>
      <c r="D148" s="197"/>
      <c r="E148" s="179"/>
      <c r="F148" s="179"/>
      <c r="G148" s="179"/>
      <c r="H148" s="179"/>
      <c r="I148" s="179"/>
      <c r="J148" s="201"/>
      <c r="K148" s="199"/>
      <c r="L148" s="182"/>
      <c r="M148" s="183"/>
      <c r="N148" s="119"/>
    </row>
    <row r="149">
      <c r="A149" s="119"/>
      <c r="B149" s="202"/>
      <c r="C149" s="196"/>
      <c r="D149" s="197"/>
      <c r="E149" s="179"/>
      <c r="F149" s="179"/>
      <c r="G149" s="179"/>
      <c r="H149" s="179"/>
      <c r="I149" s="179"/>
      <c r="J149" s="201"/>
      <c r="K149" s="199"/>
      <c r="L149" s="182"/>
      <c r="M149" s="183"/>
      <c r="N149" s="119"/>
    </row>
    <row r="150">
      <c r="A150" s="119"/>
      <c r="B150" s="202"/>
      <c r="C150" s="196"/>
      <c r="D150" s="197"/>
      <c r="E150" s="179"/>
      <c r="F150" s="179"/>
      <c r="G150" s="179"/>
      <c r="H150" s="179"/>
      <c r="I150" s="179"/>
      <c r="J150" s="201"/>
      <c r="K150" s="199"/>
      <c r="L150" s="182"/>
      <c r="M150" s="183"/>
      <c r="N150" s="119"/>
    </row>
    <row r="151">
      <c r="A151" s="119"/>
      <c r="B151" s="202"/>
      <c r="C151" s="196"/>
      <c r="D151" s="197"/>
      <c r="E151" s="179"/>
      <c r="F151" s="179"/>
      <c r="G151" s="179"/>
      <c r="H151" s="179"/>
      <c r="I151" s="179"/>
      <c r="J151" s="201"/>
      <c r="K151" s="199"/>
      <c r="L151" s="182"/>
      <c r="M151" s="183"/>
      <c r="N151" s="119"/>
    </row>
    <row r="152">
      <c r="A152" s="119"/>
      <c r="B152" s="202"/>
      <c r="C152" s="196"/>
      <c r="D152" s="197"/>
      <c r="E152" s="179"/>
      <c r="F152" s="179"/>
      <c r="G152" s="179"/>
      <c r="H152" s="179"/>
      <c r="I152" s="179"/>
      <c r="J152" s="201"/>
      <c r="K152" s="199"/>
      <c r="L152" s="182"/>
      <c r="M152" s="183"/>
      <c r="N152" s="119"/>
    </row>
    <row r="153">
      <c r="A153" s="119"/>
      <c r="B153" s="202"/>
      <c r="C153" s="196"/>
      <c r="D153" s="197"/>
      <c r="E153" s="179"/>
      <c r="F153" s="179"/>
      <c r="G153" s="179"/>
      <c r="H153" s="179"/>
      <c r="I153" s="179"/>
      <c r="J153" s="201"/>
      <c r="K153" s="199"/>
      <c r="L153" s="182"/>
      <c r="M153" s="183"/>
      <c r="N153" s="119"/>
    </row>
    <row r="154">
      <c r="A154" s="119"/>
      <c r="B154" s="202"/>
      <c r="C154" s="196"/>
      <c r="D154" s="197"/>
      <c r="E154" s="179"/>
      <c r="F154" s="179"/>
      <c r="G154" s="179"/>
      <c r="H154" s="179"/>
      <c r="I154" s="179"/>
      <c r="J154" s="201"/>
      <c r="K154" s="199"/>
      <c r="L154" s="182"/>
      <c r="M154" s="183"/>
      <c r="N154" s="119"/>
    </row>
    <row r="155">
      <c r="A155" s="119"/>
      <c r="B155" s="202"/>
      <c r="C155" s="196"/>
      <c r="D155" s="197"/>
      <c r="E155" s="179"/>
      <c r="F155" s="179"/>
      <c r="G155" s="179"/>
      <c r="H155" s="179"/>
      <c r="I155" s="179"/>
      <c r="J155" s="201"/>
      <c r="K155" s="199"/>
      <c r="L155" s="182"/>
      <c r="M155" s="183"/>
      <c r="N155" s="119"/>
    </row>
    <row r="156">
      <c r="A156" s="119"/>
      <c r="B156" s="202"/>
      <c r="C156" s="196"/>
      <c r="D156" s="197"/>
      <c r="E156" s="179"/>
      <c r="F156" s="179"/>
      <c r="G156" s="179"/>
      <c r="H156" s="179"/>
      <c r="I156" s="179"/>
      <c r="J156" s="201"/>
      <c r="K156" s="199"/>
      <c r="L156" s="182"/>
      <c r="M156" s="183"/>
      <c r="N156" s="119"/>
    </row>
    <row r="157">
      <c r="A157" s="119"/>
      <c r="B157" s="202"/>
      <c r="C157" s="196"/>
      <c r="D157" s="197"/>
      <c r="E157" s="179"/>
      <c r="F157" s="179"/>
      <c r="G157" s="179"/>
      <c r="H157" s="179"/>
      <c r="I157" s="179"/>
      <c r="J157" s="201"/>
      <c r="K157" s="199"/>
      <c r="L157" s="182"/>
      <c r="M157" s="183"/>
      <c r="N157" s="119"/>
    </row>
    <row r="158">
      <c r="A158" s="119"/>
      <c r="B158" s="202"/>
      <c r="C158" s="196"/>
      <c r="D158" s="197"/>
      <c r="E158" s="179"/>
      <c r="F158" s="179"/>
      <c r="G158" s="179"/>
      <c r="H158" s="179"/>
      <c r="I158" s="179"/>
      <c r="J158" s="201"/>
      <c r="K158" s="199"/>
      <c r="L158" s="182"/>
      <c r="M158" s="183"/>
      <c r="N158" s="119"/>
    </row>
    <row r="159">
      <c r="A159" s="119"/>
      <c r="B159" s="202"/>
      <c r="C159" s="196"/>
      <c r="D159" s="197"/>
      <c r="E159" s="179"/>
      <c r="F159" s="179"/>
      <c r="G159" s="179"/>
      <c r="H159" s="179"/>
      <c r="I159" s="179"/>
      <c r="J159" s="201"/>
      <c r="K159" s="199"/>
      <c r="L159" s="182"/>
      <c r="M159" s="183"/>
      <c r="N159" s="119"/>
    </row>
    <row r="160">
      <c r="A160" s="119"/>
      <c r="B160" s="202"/>
      <c r="C160" s="196"/>
      <c r="D160" s="197"/>
      <c r="E160" s="179"/>
      <c r="F160" s="179"/>
      <c r="G160" s="179"/>
      <c r="H160" s="179"/>
      <c r="I160" s="179"/>
      <c r="J160" s="201"/>
      <c r="K160" s="199"/>
      <c r="L160" s="182"/>
      <c r="M160" s="183"/>
      <c r="N160" s="119"/>
    </row>
    <row r="161">
      <c r="A161" s="119"/>
      <c r="B161" s="202"/>
      <c r="C161" s="196"/>
      <c r="D161" s="197"/>
      <c r="E161" s="179"/>
      <c r="F161" s="179"/>
      <c r="G161" s="179"/>
      <c r="H161" s="179"/>
      <c r="I161" s="179"/>
      <c r="J161" s="201"/>
      <c r="K161" s="199"/>
      <c r="L161" s="182"/>
      <c r="M161" s="183"/>
      <c r="N161" s="119"/>
    </row>
    <row r="162">
      <c r="A162" s="119"/>
      <c r="B162" s="202"/>
      <c r="C162" s="196"/>
      <c r="D162" s="197"/>
      <c r="E162" s="179"/>
      <c r="F162" s="179"/>
      <c r="G162" s="179"/>
      <c r="H162" s="179"/>
      <c r="I162" s="179"/>
      <c r="J162" s="201"/>
      <c r="K162" s="199"/>
      <c r="L162" s="182"/>
      <c r="M162" s="183"/>
      <c r="N162" s="119"/>
    </row>
    <row r="163">
      <c r="A163" s="119"/>
      <c r="B163" s="202"/>
      <c r="C163" s="196"/>
      <c r="D163" s="197"/>
      <c r="E163" s="179"/>
      <c r="F163" s="179"/>
      <c r="G163" s="179"/>
      <c r="H163" s="179"/>
      <c r="I163" s="179"/>
      <c r="J163" s="201"/>
      <c r="K163" s="199"/>
      <c r="L163" s="182"/>
      <c r="M163" s="183"/>
      <c r="N163" s="119"/>
    </row>
    <row r="164">
      <c r="A164" s="119"/>
      <c r="B164" s="202"/>
      <c r="C164" s="196"/>
      <c r="D164" s="197"/>
      <c r="E164" s="179"/>
      <c r="F164" s="179"/>
      <c r="G164" s="179"/>
      <c r="H164" s="179"/>
      <c r="I164" s="179"/>
      <c r="J164" s="201"/>
      <c r="K164" s="199"/>
      <c r="L164" s="182"/>
      <c r="M164" s="183"/>
      <c r="N164" s="119"/>
    </row>
    <row r="165">
      <c r="A165" s="119"/>
      <c r="B165" s="202"/>
      <c r="C165" s="196"/>
      <c r="D165" s="197"/>
      <c r="E165" s="179"/>
      <c r="F165" s="179"/>
      <c r="G165" s="179"/>
      <c r="H165" s="179"/>
      <c r="I165" s="179"/>
      <c r="J165" s="201"/>
      <c r="K165" s="199"/>
      <c r="L165" s="182"/>
      <c r="M165" s="183"/>
      <c r="N165" s="119"/>
    </row>
    <row r="166">
      <c r="A166" s="119"/>
      <c r="B166" s="202"/>
      <c r="C166" s="196"/>
      <c r="D166" s="197"/>
      <c r="E166" s="179"/>
      <c r="F166" s="179"/>
      <c r="G166" s="179"/>
      <c r="H166" s="179"/>
      <c r="I166" s="179"/>
      <c r="J166" s="201"/>
      <c r="K166" s="199"/>
      <c r="L166" s="182"/>
      <c r="M166" s="183"/>
      <c r="N166" s="119"/>
    </row>
    <row r="167">
      <c r="A167" s="119"/>
      <c r="B167" s="202"/>
      <c r="C167" s="196"/>
      <c r="D167" s="197"/>
      <c r="E167" s="179"/>
      <c r="F167" s="179"/>
      <c r="G167" s="179"/>
      <c r="H167" s="179"/>
      <c r="I167" s="179"/>
      <c r="J167" s="201"/>
      <c r="K167" s="199"/>
      <c r="L167" s="182"/>
      <c r="M167" s="183"/>
      <c r="N167" s="119"/>
    </row>
    <row r="168">
      <c r="A168" s="119"/>
      <c r="B168" s="202"/>
      <c r="C168" s="196"/>
      <c r="D168" s="197"/>
      <c r="E168" s="179"/>
      <c r="F168" s="179"/>
      <c r="G168" s="179"/>
      <c r="H168" s="179"/>
      <c r="I168" s="179"/>
      <c r="J168" s="201"/>
      <c r="K168" s="199"/>
      <c r="L168" s="182"/>
      <c r="M168" s="183"/>
      <c r="N168" s="119"/>
    </row>
    <row r="169">
      <c r="A169" s="119"/>
      <c r="B169" s="202"/>
      <c r="C169" s="196"/>
      <c r="D169" s="197"/>
      <c r="E169" s="179"/>
      <c r="F169" s="179"/>
      <c r="G169" s="179"/>
      <c r="H169" s="179"/>
      <c r="I169" s="179"/>
      <c r="J169" s="201"/>
      <c r="K169" s="199"/>
      <c r="L169" s="182"/>
      <c r="M169" s="183"/>
      <c r="N169" s="119"/>
    </row>
    <row r="170">
      <c r="A170" s="119"/>
      <c r="B170" s="202"/>
      <c r="C170" s="196"/>
      <c r="D170" s="197"/>
      <c r="E170" s="179"/>
      <c r="F170" s="179"/>
      <c r="G170" s="179"/>
      <c r="H170" s="179"/>
      <c r="I170" s="179"/>
      <c r="J170" s="201"/>
      <c r="K170" s="199"/>
      <c r="L170" s="182"/>
      <c r="M170" s="183"/>
      <c r="N170" s="119"/>
    </row>
    <row r="171">
      <c r="A171" s="119"/>
      <c r="B171" s="202"/>
      <c r="C171" s="196"/>
      <c r="D171" s="197"/>
      <c r="E171" s="179"/>
      <c r="F171" s="179"/>
      <c r="G171" s="179"/>
      <c r="H171" s="179"/>
      <c r="I171" s="179"/>
      <c r="J171" s="201"/>
      <c r="K171" s="199"/>
      <c r="L171" s="182"/>
      <c r="M171" s="183"/>
      <c r="N171" s="119"/>
    </row>
    <row r="172">
      <c r="A172" s="119"/>
      <c r="B172" s="202"/>
      <c r="C172" s="196"/>
      <c r="D172" s="197"/>
      <c r="E172" s="179"/>
      <c r="F172" s="179"/>
      <c r="G172" s="179"/>
      <c r="H172" s="179"/>
      <c r="I172" s="179"/>
      <c r="J172" s="201"/>
      <c r="K172" s="199"/>
      <c r="L172" s="182"/>
      <c r="M172" s="183"/>
      <c r="N172" s="119"/>
    </row>
    <row r="173">
      <c r="A173" s="119"/>
      <c r="B173" s="202"/>
      <c r="C173" s="196"/>
      <c r="D173" s="197"/>
      <c r="E173" s="179"/>
      <c r="F173" s="179"/>
      <c r="G173" s="179"/>
      <c r="H173" s="179"/>
      <c r="I173" s="179"/>
      <c r="J173" s="201"/>
      <c r="K173" s="199"/>
      <c r="L173" s="182"/>
      <c r="M173" s="183"/>
      <c r="N173" s="119"/>
    </row>
    <row r="174">
      <c r="A174" s="119"/>
      <c r="B174" s="202"/>
      <c r="C174" s="196"/>
      <c r="D174" s="197"/>
      <c r="E174" s="179"/>
      <c r="F174" s="179"/>
      <c r="G174" s="179"/>
      <c r="H174" s="179"/>
      <c r="I174" s="179"/>
      <c r="J174" s="201"/>
      <c r="K174" s="199"/>
      <c r="L174" s="182"/>
      <c r="M174" s="183"/>
      <c r="N174" s="119"/>
    </row>
    <row r="175">
      <c r="A175" s="119"/>
      <c r="B175" s="202"/>
      <c r="C175" s="196"/>
      <c r="D175" s="197"/>
      <c r="E175" s="179"/>
      <c r="F175" s="179"/>
      <c r="G175" s="179"/>
      <c r="H175" s="179"/>
      <c r="I175" s="179"/>
      <c r="J175" s="201"/>
      <c r="K175" s="199"/>
      <c r="L175" s="182"/>
      <c r="M175" s="183"/>
      <c r="N175" s="119"/>
    </row>
    <row r="176">
      <c r="A176" s="119"/>
      <c r="B176" s="202"/>
      <c r="C176" s="196"/>
      <c r="D176" s="197"/>
      <c r="E176" s="179"/>
      <c r="F176" s="179"/>
      <c r="G176" s="179"/>
      <c r="H176" s="179"/>
      <c r="I176" s="179"/>
      <c r="J176" s="201"/>
      <c r="K176" s="199"/>
      <c r="L176" s="182"/>
      <c r="M176" s="183"/>
      <c r="N176" s="119"/>
    </row>
    <row r="177">
      <c r="A177" s="119"/>
      <c r="B177" s="202"/>
      <c r="C177" s="196"/>
      <c r="D177" s="197"/>
      <c r="E177" s="179"/>
      <c r="F177" s="179"/>
      <c r="G177" s="179"/>
      <c r="H177" s="179"/>
      <c r="I177" s="179"/>
      <c r="J177" s="201"/>
      <c r="K177" s="199"/>
      <c r="L177" s="182"/>
      <c r="M177" s="183"/>
      <c r="N177" s="119"/>
    </row>
    <row r="178">
      <c r="A178" s="119"/>
      <c r="B178" s="202"/>
      <c r="C178" s="196"/>
      <c r="D178" s="197"/>
      <c r="E178" s="179"/>
      <c r="F178" s="179"/>
      <c r="G178" s="179"/>
      <c r="H178" s="179"/>
      <c r="I178" s="179"/>
      <c r="J178" s="201"/>
      <c r="K178" s="199"/>
      <c r="L178" s="182"/>
      <c r="M178" s="183"/>
      <c r="N178" s="119"/>
    </row>
    <row r="179">
      <c r="A179" s="119"/>
      <c r="B179" s="202"/>
      <c r="C179" s="196"/>
      <c r="D179" s="197"/>
      <c r="E179" s="179"/>
      <c r="F179" s="179"/>
      <c r="G179" s="179"/>
      <c r="H179" s="179"/>
      <c r="I179" s="179"/>
      <c r="J179" s="201"/>
      <c r="K179" s="199"/>
      <c r="L179" s="182"/>
      <c r="M179" s="183"/>
      <c r="N179" s="119"/>
    </row>
    <row r="180">
      <c r="A180" s="119"/>
      <c r="B180" s="202"/>
      <c r="C180" s="196"/>
      <c r="D180" s="197"/>
      <c r="E180" s="179"/>
      <c r="F180" s="179"/>
      <c r="G180" s="179"/>
      <c r="H180" s="179"/>
      <c r="I180" s="179"/>
      <c r="J180" s="201"/>
      <c r="K180" s="199"/>
      <c r="L180" s="182"/>
      <c r="M180" s="183"/>
      <c r="N180" s="119"/>
    </row>
    <row r="181">
      <c r="A181" s="119"/>
      <c r="B181" s="202"/>
      <c r="C181" s="196"/>
      <c r="D181" s="197"/>
      <c r="E181" s="179"/>
      <c r="F181" s="179"/>
      <c r="G181" s="179"/>
      <c r="H181" s="179"/>
      <c r="I181" s="179"/>
      <c r="J181" s="201"/>
      <c r="K181" s="199"/>
      <c r="L181" s="182"/>
      <c r="M181" s="183"/>
      <c r="N181" s="119"/>
    </row>
    <row r="182">
      <c r="A182" s="119"/>
      <c r="B182" s="202"/>
      <c r="C182" s="196"/>
      <c r="D182" s="197"/>
      <c r="E182" s="179"/>
      <c r="F182" s="179"/>
      <c r="G182" s="179"/>
      <c r="H182" s="179"/>
      <c r="I182" s="179"/>
      <c r="J182" s="201"/>
      <c r="K182" s="199"/>
      <c r="L182" s="182"/>
      <c r="M182" s="183"/>
      <c r="N182" s="119"/>
    </row>
    <row r="183">
      <c r="A183" s="119"/>
      <c r="B183" s="202"/>
      <c r="C183" s="196"/>
      <c r="D183" s="197"/>
      <c r="E183" s="179"/>
      <c r="F183" s="179"/>
      <c r="G183" s="179"/>
      <c r="H183" s="179"/>
      <c r="I183" s="179"/>
      <c r="J183" s="201"/>
      <c r="K183" s="199"/>
      <c r="L183" s="182"/>
      <c r="M183" s="183"/>
      <c r="N183" s="119"/>
    </row>
    <row r="184">
      <c r="A184" s="119"/>
      <c r="B184" s="202"/>
      <c r="C184" s="196"/>
      <c r="D184" s="197"/>
      <c r="E184" s="179"/>
      <c r="F184" s="179"/>
      <c r="G184" s="179"/>
      <c r="H184" s="179"/>
      <c r="I184" s="179"/>
      <c r="J184" s="201"/>
      <c r="K184" s="199"/>
      <c r="L184" s="182"/>
      <c r="M184" s="183"/>
      <c r="N184" s="119"/>
    </row>
    <row r="185">
      <c r="A185" s="119"/>
      <c r="B185" s="202"/>
      <c r="C185" s="196"/>
      <c r="D185" s="197"/>
      <c r="E185" s="179"/>
      <c r="F185" s="179"/>
      <c r="G185" s="179"/>
      <c r="H185" s="179"/>
      <c r="I185" s="179"/>
      <c r="J185" s="201"/>
      <c r="K185" s="199"/>
      <c r="L185" s="182"/>
      <c r="M185" s="183"/>
      <c r="N185" s="119"/>
    </row>
    <row r="186">
      <c r="A186" s="119"/>
      <c r="B186" s="202"/>
      <c r="C186" s="196"/>
      <c r="D186" s="197"/>
      <c r="E186" s="179"/>
      <c r="F186" s="179"/>
      <c r="G186" s="179"/>
      <c r="H186" s="179"/>
      <c r="I186" s="179"/>
      <c r="J186" s="201"/>
      <c r="K186" s="199"/>
      <c r="L186" s="182"/>
      <c r="M186" s="183"/>
      <c r="N186" s="119"/>
    </row>
    <row r="187">
      <c r="A187" s="119"/>
      <c r="B187" s="202"/>
      <c r="C187" s="196"/>
      <c r="D187" s="197"/>
      <c r="E187" s="179"/>
      <c r="F187" s="179"/>
      <c r="G187" s="179"/>
      <c r="H187" s="179"/>
      <c r="I187" s="179"/>
      <c r="J187" s="201"/>
      <c r="K187" s="199"/>
      <c r="L187" s="182"/>
      <c r="M187" s="183"/>
      <c r="N187" s="119"/>
    </row>
    <row r="188">
      <c r="A188" s="119"/>
      <c r="B188" s="202"/>
      <c r="C188" s="196"/>
      <c r="D188" s="197"/>
      <c r="E188" s="179"/>
      <c r="F188" s="179"/>
      <c r="G188" s="179"/>
      <c r="H188" s="179"/>
      <c r="I188" s="179"/>
      <c r="J188" s="201"/>
      <c r="K188" s="199"/>
      <c r="L188" s="182"/>
      <c r="M188" s="183"/>
      <c r="N188" s="119"/>
    </row>
    <row r="189">
      <c r="A189" s="119"/>
      <c r="B189" s="202"/>
      <c r="C189" s="196"/>
      <c r="D189" s="197"/>
      <c r="E189" s="179"/>
      <c r="F189" s="179"/>
      <c r="G189" s="179"/>
      <c r="H189" s="179"/>
      <c r="I189" s="179"/>
      <c r="J189" s="201"/>
      <c r="K189" s="199"/>
      <c r="L189" s="182"/>
      <c r="M189" s="183"/>
      <c r="N189" s="119"/>
    </row>
    <row r="190">
      <c r="A190" s="119"/>
      <c r="B190" s="202"/>
      <c r="C190" s="196"/>
      <c r="D190" s="197"/>
      <c r="E190" s="179"/>
      <c r="F190" s="179"/>
      <c r="G190" s="179"/>
      <c r="H190" s="179"/>
      <c r="I190" s="179"/>
      <c r="J190" s="201"/>
      <c r="K190" s="199"/>
      <c r="L190" s="182"/>
      <c r="M190" s="183"/>
      <c r="N190" s="119"/>
    </row>
    <row r="191">
      <c r="A191" s="119"/>
      <c r="B191" s="202"/>
      <c r="C191" s="196"/>
      <c r="D191" s="197"/>
      <c r="E191" s="179"/>
      <c r="F191" s="179"/>
      <c r="G191" s="179"/>
      <c r="H191" s="179"/>
      <c r="I191" s="179"/>
      <c r="J191" s="201"/>
      <c r="K191" s="199"/>
      <c r="L191" s="182"/>
      <c r="M191" s="183"/>
      <c r="N191" s="119"/>
    </row>
    <row r="192">
      <c r="A192" s="119"/>
      <c r="B192" s="202"/>
      <c r="C192" s="196"/>
      <c r="D192" s="197"/>
      <c r="E192" s="179"/>
      <c r="F192" s="179"/>
      <c r="G192" s="179"/>
      <c r="H192" s="179"/>
      <c r="I192" s="179"/>
      <c r="J192" s="201"/>
      <c r="K192" s="199"/>
      <c r="L192" s="182"/>
      <c r="M192" s="183"/>
      <c r="N192" s="119"/>
    </row>
    <row r="193">
      <c r="A193" s="119"/>
      <c r="B193" s="202"/>
      <c r="C193" s="196"/>
      <c r="D193" s="197"/>
      <c r="E193" s="179"/>
      <c r="F193" s="179"/>
      <c r="G193" s="179"/>
      <c r="H193" s="179"/>
      <c r="I193" s="179"/>
      <c r="J193" s="201"/>
      <c r="K193" s="199"/>
      <c r="L193" s="182"/>
      <c r="M193" s="183"/>
      <c r="N193" s="119"/>
    </row>
    <row r="194">
      <c r="A194" s="119"/>
      <c r="B194" s="202"/>
      <c r="C194" s="196"/>
      <c r="D194" s="197"/>
      <c r="E194" s="179"/>
      <c r="F194" s="179"/>
      <c r="G194" s="179"/>
      <c r="H194" s="179"/>
      <c r="I194" s="179"/>
      <c r="J194" s="201"/>
      <c r="K194" s="199"/>
      <c r="L194" s="182"/>
      <c r="M194" s="183"/>
      <c r="N194" s="119"/>
    </row>
    <row r="195">
      <c r="A195" s="119"/>
      <c r="B195" s="202"/>
      <c r="C195" s="196"/>
      <c r="D195" s="197"/>
      <c r="E195" s="179"/>
      <c r="F195" s="179"/>
      <c r="G195" s="179"/>
      <c r="H195" s="179"/>
      <c r="I195" s="179"/>
      <c r="J195" s="201"/>
      <c r="K195" s="199"/>
      <c r="L195" s="182"/>
      <c r="M195" s="183"/>
      <c r="N195" s="119"/>
    </row>
    <row r="196">
      <c r="A196" s="119"/>
      <c r="B196" s="202"/>
      <c r="C196" s="196"/>
      <c r="D196" s="197"/>
      <c r="E196" s="179"/>
      <c r="F196" s="179"/>
      <c r="G196" s="179"/>
      <c r="H196" s="179"/>
      <c r="I196" s="179"/>
      <c r="J196" s="201"/>
      <c r="K196" s="199"/>
      <c r="L196" s="182"/>
      <c r="M196" s="183"/>
      <c r="N196" s="119"/>
    </row>
    <row r="197">
      <c r="A197" s="119"/>
      <c r="B197" s="202"/>
      <c r="C197" s="196"/>
      <c r="D197" s="197"/>
      <c r="E197" s="179"/>
      <c r="F197" s="179"/>
      <c r="G197" s="179"/>
      <c r="H197" s="179"/>
      <c r="I197" s="179"/>
      <c r="J197" s="201"/>
      <c r="K197" s="199"/>
      <c r="L197" s="182"/>
      <c r="M197" s="183"/>
      <c r="N197" s="119"/>
    </row>
    <row r="198">
      <c r="A198" s="119"/>
      <c r="B198" s="202"/>
      <c r="C198" s="196"/>
      <c r="D198" s="197"/>
      <c r="E198" s="179"/>
      <c r="F198" s="179"/>
      <c r="G198" s="179"/>
      <c r="H198" s="179"/>
      <c r="I198" s="179"/>
      <c r="J198" s="201"/>
      <c r="K198" s="199"/>
      <c r="L198" s="182"/>
      <c r="M198" s="183"/>
      <c r="N198" s="119"/>
    </row>
    <row r="199">
      <c r="A199" s="119"/>
      <c r="B199" s="202"/>
      <c r="C199" s="196"/>
      <c r="D199" s="197"/>
      <c r="E199" s="179"/>
      <c r="F199" s="179"/>
      <c r="G199" s="179"/>
      <c r="H199" s="179"/>
      <c r="I199" s="179"/>
      <c r="J199" s="201"/>
      <c r="K199" s="199"/>
      <c r="L199" s="182"/>
      <c r="M199" s="183"/>
      <c r="N199" s="119"/>
    </row>
    <row r="200">
      <c r="A200" s="119"/>
      <c r="B200" s="202"/>
      <c r="C200" s="196"/>
      <c r="D200" s="197"/>
      <c r="E200" s="179"/>
      <c r="F200" s="179"/>
      <c r="G200" s="179"/>
      <c r="H200" s="179"/>
      <c r="I200" s="179"/>
      <c r="J200" s="201"/>
      <c r="K200" s="199"/>
      <c r="L200" s="182"/>
      <c r="M200" s="183"/>
      <c r="N200" s="119"/>
    </row>
    <row r="201">
      <c r="A201" s="119"/>
      <c r="B201" s="202"/>
      <c r="C201" s="196"/>
      <c r="D201" s="197"/>
      <c r="E201" s="179"/>
      <c r="F201" s="179"/>
      <c r="G201" s="179"/>
      <c r="H201" s="179"/>
      <c r="I201" s="179"/>
      <c r="J201" s="201"/>
      <c r="K201" s="199"/>
      <c r="L201" s="182"/>
      <c r="M201" s="183"/>
      <c r="N201" s="119"/>
    </row>
    <row r="202">
      <c r="A202" s="119"/>
      <c r="B202" s="202"/>
      <c r="C202" s="196"/>
      <c r="D202" s="197"/>
      <c r="E202" s="179"/>
      <c r="F202" s="179"/>
      <c r="G202" s="179"/>
      <c r="H202" s="179"/>
      <c r="I202" s="179"/>
      <c r="J202" s="201"/>
      <c r="K202" s="199"/>
      <c r="L202" s="182"/>
      <c r="M202" s="183"/>
      <c r="N202" s="119"/>
    </row>
    <row r="203">
      <c r="A203" s="119"/>
      <c r="B203" s="202"/>
      <c r="C203" s="196"/>
      <c r="D203" s="197"/>
      <c r="E203" s="179"/>
      <c r="F203" s="179"/>
      <c r="G203" s="179"/>
      <c r="H203" s="179"/>
      <c r="I203" s="179"/>
      <c r="J203" s="201"/>
      <c r="K203" s="199"/>
      <c r="L203" s="182"/>
      <c r="M203" s="183"/>
      <c r="N203" s="119"/>
    </row>
    <row r="204">
      <c r="A204" s="119"/>
      <c r="B204" s="202"/>
      <c r="C204" s="196"/>
      <c r="D204" s="197"/>
      <c r="E204" s="179"/>
      <c r="F204" s="179"/>
      <c r="G204" s="179"/>
      <c r="H204" s="179"/>
      <c r="I204" s="179"/>
      <c r="J204" s="201"/>
      <c r="K204" s="199"/>
      <c r="L204" s="182"/>
      <c r="M204" s="183"/>
      <c r="N204" s="119"/>
    </row>
    <row r="205">
      <c r="A205" s="119"/>
      <c r="B205" s="202"/>
      <c r="C205" s="196"/>
      <c r="D205" s="197"/>
      <c r="E205" s="179"/>
      <c r="F205" s="179"/>
      <c r="G205" s="179"/>
      <c r="H205" s="179"/>
      <c r="I205" s="179"/>
      <c r="J205" s="201"/>
      <c r="K205" s="199"/>
      <c r="L205" s="182"/>
      <c r="M205" s="183"/>
      <c r="N205" s="119"/>
    </row>
    <row r="206">
      <c r="A206" s="119"/>
      <c r="B206" s="202"/>
      <c r="C206" s="196"/>
      <c r="D206" s="197"/>
      <c r="E206" s="179"/>
      <c r="F206" s="179"/>
      <c r="G206" s="179"/>
      <c r="H206" s="179"/>
      <c r="I206" s="179"/>
      <c r="J206" s="201"/>
      <c r="K206" s="199"/>
      <c r="L206" s="182"/>
      <c r="M206" s="183"/>
      <c r="N206" s="119"/>
    </row>
    <row r="207">
      <c r="A207" s="119"/>
      <c r="B207" s="202"/>
      <c r="C207" s="196"/>
      <c r="D207" s="197"/>
      <c r="E207" s="179"/>
      <c r="F207" s="179"/>
      <c r="G207" s="179"/>
      <c r="H207" s="179"/>
      <c r="I207" s="179"/>
      <c r="J207" s="201"/>
      <c r="K207" s="199"/>
      <c r="L207" s="182"/>
      <c r="M207" s="183"/>
      <c r="N207" s="119"/>
    </row>
    <row r="208">
      <c r="A208" s="119"/>
      <c r="B208" s="202"/>
      <c r="C208" s="196"/>
      <c r="D208" s="197"/>
      <c r="E208" s="179"/>
      <c r="F208" s="179"/>
      <c r="G208" s="179"/>
      <c r="H208" s="179"/>
      <c r="I208" s="179"/>
      <c r="J208" s="201"/>
      <c r="K208" s="199"/>
      <c r="L208" s="182"/>
      <c r="M208" s="183"/>
      <c r="N208" s="119"/>
    </row>
    <row r="209">
      <c r="A209" s="119"/>
      <c r="B209" s="202"/>
      <c r="C209" s="196"/>
      <c r="D209" s="197"/>
      <c r="E209" s="179"/>
      <c r="F209" s="179"/>
      <c r="G209" s="179"/>
      <c r="H209" s="179"/>
      <c r="I209" s="179"/>
      <c r="J209" s="201"/>
      <c r="K209" s="199"/>
      <c r="L209" s="182"/>
      <c r="M209" s="183"/>
      <c r="N209" s="119"/>
    </row>
    <row r="210">
      <c r="A210" s="119"/>
      <c r="B210" s="202"/>
      <c r="C210" s="196"/>
      <c r="D210" s="197"/>
      <c r="E210" s="179"/>
      <c r="F210" s="179"/>
      <c r="G210" s="179"/>
      <c r="H210" s="179"/>
      <c r="I210" s="179"/>
      <c r="J210" s="201"/>
      <c r="K210" s="199"/>
      <c r="L210" s="182"/>
      <c r="M210" s="183"/>
      <c r="N210" s="119"/>
    </row>
    <row r="211">
      <c r="A211" s="119"/>
      <c r="B211" s="202"/>
      <c r="C211" s="196"/>
      <c r="D211" s="197"/>
      <c r="E211" s="179"/>
      <c r="F211" s="179"/>
      <c r="G211" s="179"/>
      <c r="H211" s="179"/>
      <c r="I211" s="179"/>
      <c r="J211" s="201"/>
      <c r="K211" s="199"/>
      <c r="L211" s="182"/>
      <c r="M211" s="183"/>
      <c r="N211" s="119"/>
    </row>
    <row r="212">
      <c r="A212" s="119"/>
      <c r="B212" s="202"/>
      <c r="C212" s="196"/>
      <c r="D212" s="197"/>
      <c r="E212" s="179"/>
      <c r="F212" s="179"/>
      <c r="G212" s="179"/>
      <c r="H212" s="179"/>
      <c r="I212" s="179"/>
      <c r="J212" s="201"/>
      <c r="K212" s="199"/>
      <c r="L212" s="182"/>
      <c r="M212" s="183"/>
      <c r="N212" s="119"/>
    </row>
    <row r="213">
      <c r="A213" s="119"/>
      <c r="B213" s="202"/>
      <c r="C213" s="196"/>
      <c r="D213" s="197"/>
      <c r="E213" s="179"/>
      <c r="F213" s="179"/>
      <c r="G213" s="179"/>
      <c r="H213" s="179"/>
      <c r="I213" s="179"/>
      <c r="J213" s="201"/>
      <c r="K213" s="199"/>
      <c r="L213" s="182"/>
      <c r="M213" s="183"/>
      <c r="N213" s="119"/>
    </row>
    <row r="214" ht="15.75" customHeight="1">
      <c r="A214" s="119"/>
      <c r="B214" s="119"/>
      <c r="C214" s="119"/>
      <c r="D214" s="119"/>
      <c r="E214" s="119"/>
      <c r="F214" s="119"/>
      <c r="G214" s="119"/>
      <c r="H214" s="119"/>
      <c r="I214" s="119"/>
      <c r="J214" s="119"/>
      <c r="K214" s="119"/>
      <c r="L214" s="119"/>
      <c r="M214" s="119"/>
      <c r="N214" s="119"/>
    </row>
  </sheetData>
  <mergeCells count="19">
    <mergeCell ref="B3:F3"/>
    <mergeCell ref="B4:F4"/>
    <mergeCell ref="B5:F5"/>
    <mergeCell ref="B6:F6"/>
    <mergeCell ref="E8:F8"/>
    <mergeCell ref="B1:M1"/>
    <mergeCell ref="B24:C24"/>
    <mergeCell ref="J24:L24"/>
    <mergeCell ref="B18:H18"/>
    <mergeCell ref="B19:H19"/>
    <mergeCell ref="B20:H20"/>
    <mergeCell ref="F24:H24"/>
    <mergeCell ref="B9:C9"/>
    <mergeCell ref="B10:C10"/>
    <mergeCell ref="B12:H12"/>
    <mergeCell ref="B13:H13"/>
    <mergeCell ref="B15:H15"/>
    <mergeCell ref="B16:H16"/>
    <mergeCell ref="B17:H17"/>
  </mergeCells>
  <conditionalFormatting sqref="J25:J27">
    <cfRule type="containsText" dxfId="0" priority="1" operator="containsText" text="Medium">
      <formula>NOT(ISERROR(SEARCH(("Medium"),(J25))))</formula>
    </cfRule>
  </conditionalFormatting>
  <conditionalFormatting sqref="J25:J27">
    <cfRule type="containsText" dxfId="1" priority="2" operator="containsText" text="High">
      <formula>NOT(ISERROR(SEARCH(("High"),(J25))))</formula>
    </cfRule>
  </conditionalFormatting>
  <conditionalFormatting sqref="B26:B28">
    <cfRule type="containsText" dxfId="2" priority="3" operator="containsText" text="Approved">
      <formula>NOT(ISERROR(SEARCH(("Approved"),(B26))))</formula>
    </cfRule>
  </conditionalFormatting>
  <conditionalFormatting sqref="B26:B28">
    <cfRule type="containsText" dxfId="3" priority="4" operator="containsText" text="Needs Review">
      <formula>NOT(ISERROR(SEARCH(("Needs Review"),(B26))))</formula>
    </cfRule>
  </conditionalFormatting>
  <conditionalFormatting sqref="B26:B28">
    <cfRule type="containsText" dxfId="4" priority="5" operator="containsText" text="Not Started">
      <formula>NOT(ISERROR(SEARCH(("Not Started"),(B26))))</formula>
    </cfRule>
  </conditionalFormatting>
  <conditionalFormatting sqref="B26:B28">
    <cfRule type="containsText" dxfId="5" priority="6" operator="containsText" text="On Hold">
      <formula>NOT(ISERROR(SEARCH(("On Hold"),(B26))))</formula>
    </cfRule>
  </conditionalFormatting>
  <conditionalFormatting sqref="B26:B28">
    <cfRule type="containsText" dxfId="6" priority="7" operator="containsText" text="Open">
      <formula>NOT(ISERROR(SEARCH(("Open"),(B26))))</formula>
    </cfRule>
  </conditionalFormatting>
  <conditionalFormatting sqref="B26:B28">
    <cfRule type="containsText" dxfId="7" priority="8" operator="containsText" text="Closed">
      <formula>NOT(ISERROR(SEARCH(("Closed"),(B26))))</formula>
    </cfRule>
  </conditionalFormatting>
  <conditionalFormatting sqref="B26:B28">
    <cfRule type="containsText" dxfId="8" priority="9" operator="containsText" text="In Progress">
      <formula>NOT(ISERROR(SEARCH(("In Progress"),(B26))))</formula>
    </cfRule>
  </conditionalFormatting>
  <conditionalFormatting sqref="B29:B31">
    <cfRule type="containsText" dxfId="9" priority="10" operator="containsText" text="Minor">
      <formula>NOT(ISERROR(SEARCH(("Minor"),(B29))))</formula>
    </cfRule>
  </conditionalFormatting>
  <conditionalFormatting sqref="B29:B31">
    <cfRule type="containsText" dxfId="21" priority="11" operator="containsText" text="Major">
      <formula>NOT(ISERROR(SEARCH(("Major"),(B29))))</formula>
    </cfRule>
  </conditionalFormatting>
  <conditionalFormatting sqref="B29:B31">
    <cfRule type="containsText" dxfId="11" priority="12" operator="containsText" text="Critical">
      <formula>NOT(ISERROR(SEARCH(("Critical"),(B29))))</formula>
    </cfRule>
  </conditionalFormatting>
  <conditionalFormatting sqref="B35:H59">
    <cfRule type="expression" dxfId="12" priority="13">
      <formula>$J35="FAILED"</formula>
    </cfRule>
  </conditionalFormatting>
  <conditionalFormatting sqref="B64:I213">
    <cfRule type="expression" dxfId="12" priority="14">
      <formula>$J64="FAILED"</formula>
    </cfRule>
  </conditionalFormatting>
  <conditionalFormatting sqref="F26:F29">
    <cfRule type="containsText" dxfId="13" priority="15" operator="containsText" text="Not Executed">
      <formula>NOT(ISERROR(SEARCH(("Not Executed"),(F26))))</formula>
    </cfRule>
  </conditionalFormatting>
  <conditionalFormatting sqref="F26:F29">
    <cfRule type="containsText" dxfId="14" priority="16" operator="containsText" text="BLOCKED">
      <formula>NOT(ISERROR(SEARCH(("BLOCKED"),(F26))))</formula>
    </cfRule>
  </conditionalFormatting>
  <conditionalFormatting sqref="F26:F29">
    <cfRule type="containsText" dxfId="15" priority="17" operator="containsText" text="PASS">
      <formula>NOT(ISERROR(SEARCH(("PASS"),(F26))))</formula>
    </cfRule>
  </conditionalFormatting>
  <conditionalFormatting sqref="F26:F29">
    <cfRule type="containsText" dxfId="16" priority="18" operator="containsText" text="FAIL">
      <formula>NOT(ISERROR(SEARCH(("FAIL"),(F26))))</formula>
    </cfRule>
  </conditionalFormatting>
  <conditionalFormatting sqref="H35:H59">
    <cfRule type="containsText" dxfId="2" priority="19" operator="containsText" text="Approved">
      <formula>NOT(ISERROR(SEARCH(("Approved"),(H35))))</formula>
    </cfRule>
  </conditionalFormatting>
  <conditionalFormatting sqref="H35:H59">
    <cfRule type="containsText" dxfId="3" priority="20" operator="containsText" text="Needs Review">
      <formula>NOT(ISERROR(SEARCH(("Needs Review"),(H35))))</formula>
    </cfRule>
  </conditionalFormatting>
  <conditionalFormatting sqref="H35:H59">
    <cfRule type="containsText" dxfId="4" priority="21" operator="containsText" text="Not Started">
      <formula>NOT(ISERROR(SEARCH(("Not Started"),(H35))))</formula>
    </cfRule>
  </conditionalFormatting>
  <conditionalFormatting sqref="H35:H59">
    <cfRule type="containsText" dxfId="5" priority="22" operator="containsText" text="On Hold">
      <formula>NOT(ISERROR(SEARCH(("On Hold"),(H35))))</formula>
    </cfRule>
  </conditionalFormatting>
  <conditionalFormatting sqref="H35:H59">
    <cfRule type="containsText" dxfId="6" priority="23" operator="containsText" text="Open">
      <formula>NOT(ISERROR(SEARCH(("Open"),(H35))))</formula>
    </cfRule>
  </conditionalFormatting>
  <conditionalFormatting sqref="H35:H59">
    <cfRule type="containsText" dxfId="7" priority="24" operator="containsText" text="Closed">
      <formula>NOT(ISERROR(SEARCH(("Closed"),(H35))))</formula>
    </cfRule>
  </conditionalFormatting>
  <conditionalFormatting sqref="H35:H59">
    <cfRule type="containsText" dxfId="8" priority="25" operator="containsText" text="In Progress">
      <formula>NOT(ISERROR(SEARCH(("In Progress"),(H35))))</formula>
    </cfRule>
  </conditionalFormatting>
  <conditionalFormatting sqref="I35:I59">
    <cfRule type="containsText" dxfId="9" priority="26" operator="containsText" text="Minor">
      <formula>NOT(ISERROR(SEARCH(("Minor"),(I35))))</formula>
    </cfRule>
  </conditionalFormatting>
  <conditionalFormatting sqref="I35:I59">
    <cfRule type="containsText" dxfId="21" priority="27" operator="containsText" text="Major">
      <formula>NOT(ISERROR(SEARCH(("Major"),(I35))))</formula>
    </cfRule>
  </conditionalFormatting>
  <conditionalFormatting sqref="I35:I59">
    <cfRule type="containsText" dxfId="11" priority="28" operator="containsText" text="Critical">
      <formula>NOT(ISERROR(SEARCH(("Critical"),(I35))))</formula>
    </cfRule>
  </conditionalFormatting>
  <conditionalFormatting sqref="J25:J27 K64:K213">
    <cfRule type="containsText" dxfId="18" priority="29" operator="containsText" text="Low">
      <formula>NOT(ISERROR(SEARCH(("Low"),(J25))))</formula>
    </cfRule>
  </conditionalFormatting>
  <conditionalFormatting sqref="K64:K213">
    <cfRule type="containsText" dxfId="19" priority="30" operator="containsText" text="Medium">
      <formula>NOT(ISERROR(SEARCH(("Medium"),(K64))))</formula>
    </cfRule>
  </conditionalFormatting>
  <conditionalFormatting sqref="K64:K213">
    <cfRule type="containsText" dxfId="20" priority="31" operator="containsText" text="High">
      <formula>NOT(ISERROR(SEARCH(("High"),(K64))))</formula>
    </cfRule>
  </conditionalFormatting>
  <dataValidations>
    <dataValidation type="list" allowBlank="1" showErrorMessage="1" sqref="H35:H59">
      <formula1>'Dropdown Keys'!$H$3:$H$5</formula1>
    </dataValidation>
    <dataValidation type="list" allowBlank="1" showErrorMessage="1" sqref="J64:J213">
      <formula1>'Dropdown Keys'!$B$3:$B$6</formula1>
    </dataValidation>
    <dataValidation type="list" allowBlank="1" showErrorMessage="1" sqref="D64:D213">
      <formula1>"Unit,Security,Performance,Integrity"</formula1>
    </dataValidation>
    <dataValidation type="list" allowBlank="1" showErrorMessage="1" sqref="I35:I59">
      <formula1>Status</formula1>
    </dataValidation>
    <dataValidation type="list" allowBlank="1" showErrorMessage="1" sqref="K64:K213">
      <formula1>'Dropdown Keys'!$N$3:$N$5</formula1>
    </dataValidation>
  </dataValidations>
  <printOptions/>
  <pageMargins bottom="0.4" footer="0.0" header="0.0" left="0.4" right="0.4" top="0.4"/>
  <pageSetup fitToHeight="0"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CB13"/>
    <pageSetUpPr fitToPage="1"/>
  </sheetPr>
  <sheetViews>
    <sheetView showGridLines="0" workbookViewId="0"/>
  </sheetViews>
  <sheetFormatPr customHeight="1" defaultColWidth="11.22" defaultRowHeight="15.0"/>
  <cols>
    <col customWidth="1" min="1" max="1" width="3.33"/>
    <col customWidth="1" min="2" max="2" width="11.0"/>
    <col customWidth="1" min="3" max="3" width="11.78"/>
    <col customWidth="1" min="4" max="4" width="12.89"/>
    <col customWidth="1" min="5" max="9" width="20.78"/>
    <col customWidth="1" min="10" max="12" width="16.78"/>
    <col customWidth="1" min="13" max="13" width="22.78"/>
    <col customWidth="1" min="14" max="14" width="3.33"/>
  </cols>
  <sheetData>
    <row r="1" ht="66.0" customHeight="1">
      <c r="A1" s="118"/>
      <c r="B1" s="104" t="s">
        <v>764</v>
      </c>
      <c r="C1" s="105"/>
      <c r="D1" s="105"/>
      <c r="E1" s="105"/>
      <c r="F1" s="105"/>
      <c r="G1" s="105"/>
      <c r="H1" s="105"/>
      <c r="I1" s="105"/>
      <c r="J1" s="105"/>
      <c r="K1" s="105"/>
      <c r="L1" s="105"/>
      <c r="M1" s="106"/>
      <c r="N1" s="118"/>
    </row>
    <row r="2" ht="45.75" customHeight="1">
      <c r="A2" s="119"/>
      <c r="B2" s="120"/>
      <c r="C2" s="120"/>
      <c r="D2" s="120"/>
      <c r="E2" s="120"/>
      <c r="F2" s="120"/>
      <c r="G2" s="121"/>
      <c r="H2" s="121"/>
      <c r="I2" s="121"/>
      <c r="J2" s="119"/>
      <c r="K2" s="119"/>
      <c r="L2" s="119"/>
      <c r="M2" s="119"/>
      <c r="N2" s="119"/>
    </row>
    <row r="3" ht="19.5" customHeight="1">
      <c r="A3" s="122"/>
      <c r="B3" s="123" t="s">
        <v>662</v>
      </c>
      <c r="C3" s="124"/>
      <c r="D3" s="124"/>
      <c r="E3" s="124"/>
      <c r="F3" s="125"/>
      <c r="G3" s="206" t="s">
        <v>649</v>
      </c>
      <c r="I3" s="127"/>
      <c r="J3" s="122"/>
      <c r="K3" s="122"/>
      <c r="L3" s="122"/>
      <c r="M3" s="122"/>
      <c r="N3" s="122"/>
    </row>
    <row r="4" ht="34.5" customHeight="1">
      <c r="A4" s="122"/>
      <c r="B4" s="128" t="s">
        <v>32</v>
      </c>
      <c r="C4" s="129"/>
      <c r="D4" s="129"/>
      <c r="E4" s="129"/>
      <c r="F4" s="130"/>
      <c r="G4" s="207">
        <f>C25</f>
        <v>0</v>
      </c>
      <c r="I4" s="127"/>
      <c r="J4" s="122"/>
      <c r="K4" s="122"/>
      <c r="L4" s="122"/>
      <c r="M4" s="122"/>
      <c r="N4" s="122"/>
    </row>
    <row r="5" ht="19.5" customHeight="1">
      <c r="A5" s="122"/>
      <c r="B5" s="132" t="s">
        <v>663</v>
      </c>
      <c r="C5" s="133"/>
      <c r="D5" s="133"/>
      <c r="E5" s="133"/>
      <c r="F5" s="134"/>
      <c r="G5" s="208" t="s">
        <v>664</v>
      </c>
      <c r="I5" s="127"/>
      <c r="J5" s="122"/>
      <c r="K5" s="122"/>
      <c r="L5" s="122"/>
      <c r="M5" s="122"/>
      <c r="N5" s="122"/>
    </row>
    <row r="6" ht="34.5" customHeight="1">
      <c r="A6" s="122"/>
      <c r="B6" s="136" t="s">
        <v>665</v>
      </c>
      <c r="C6" s="129"/>
      <c r="D6" s="129"/>
      <c r="E6" s="129"/>
      <c r="F6" s="130"/>
      <c r="G6" s="207">
        <f>G25</f>
        <v>0</v>
      </c>
      <c r="I6" s="127"/>
      <c r="J6" s="122"/>
      <c r="K6" s="122"/>
      <c r="L6" s="122"/>
      <c r="M6" s="122"/>
      <c r="N6" s="122"/>
    </row>
    <row r="7" ht="15.75" customHeight="1">
      <c r="A7" s="119"/>
      <c r="B7" s="119"/>
      <c r="C7" s="119"/>
      <c r="D7" s="119"/>
      <c r="E7" s="119"/>
      <c r="F7" s="119"/>
      <c r="G7" s="119"/>
      <c r="H7" s="119"/>
      <c r="I7" s="119"/>
      <c r="J7" s="119"/>
      <c r="K7" s="119"/>
      <c r="L7" s="119"/>
      <c r="M7" s="119"/>
      <c r="N7" s="119"/>
    </row>
    <row r="8" ht="15.75" customHeight="1">
      <c r="A8" s="119"/>
      <c r="B8" s="119"/>
      <c r="C8" s="119"/>
      <c r="D8" s="119"/>
      <c r="E8" s="137" t="s">
        <v>666</v>
      </c>
      <c r="F8" s="138"/>
      <c r="G8" s="119"/>
      <c r="H8" s="119"/>
      <c r="I8" s="119"/>
      <c r="J8" s="119"/>
      <c r="K8" s="119"/>
      <c r="L8" s="119"/>
      <c r="M8" s="119"/>
      <c r="N8" s="119"/>
    </row>
    <row r="9" ht="15.75" customHeight="1">
      <c r="A9" s="119"/>
      <c r="B9" s="140" t="s">
        <v>667</v>
      </c>
      <c r="C9" s="125"/>
      <c r="D9" s="141" t="s">
        <v>668</v>
      </c>
      <c r="E9" s="142" t="s">
        <v>669</v>
      </c>
      <c r="F9" s="143" t="s">
        <v>670</v>
      </c>
      <c r="G9" s="119"/>
      <c r="H9" s="119"/>
      <c r="I9" s="119"/>
      <c r="J9" s="119"/>
      <c r="K9" s="119"/>
      <c r="L9" s="119"/>
      <c r="M9" s="119"/>
      <c r="N9" s="119"/>
    </row>
    <row r="10" ht="34.5" customHeight="1">
      <c r="A10" s="119"/>
      <c r="B10" s="144" t="s">
        <v>671</v>
      </c>
      <c r="C10" s="130"/>
      <c r="D10" s="145"/>
      <c r="E10" s="146">
        <v>46078.0</v>
      </c>
      <c r="F10" s="147">
        <v>46079.0</v>
      </c>
      <c r="G10" s="119"/>
      <c r="H10" s="119"/>
      <c r="I10" s="119"/>
      <c r="J10" s="119"/>
      <c r="K10" s="119"/>
      <c r="L10" s="119"/>
      <c r="M10" s="119"/>
      <c r="N10" s="119"/>
    </row>
    <row r="11" ht="15.75" customHeight="1">
      <c r="A11" s="119"/>
      <c r="B11" s="119"/>
      <c r="C11" s="119"/>
      <c r="D11" s="119"/>
      <c r="E11" s="119"/>
      <c r="F11" s="119"/>
      <c r="G11" s="119"/>
      <c r="H11" s="119"/>
      <c r="I11" s="119"/>
      <c r="J11" s="119"/>
      <c r="K11" s="119"/>
      <c r="L11" s="119"/>
      <c r="M11" s="119"/>
      <c r="N11" s="119"/>
    </row>
    <row r="12" ht="24.75" customHeight="1">
      <c r="A12" s="122"/>
      <c r="B12" s="148" t="s">
        <v>765</v>
      </c>
      <c r="C12" s="124"/>
      <c r="D12" s="124"/>
      <c r="E12" s="124"/>
      <c r="F12" s="124"/>
      <c r="G12" s="124"/>
      <c r="H12" s="125"/>
      <c r="I12" s="122"/>
      <c r="J12" s="122"/>
      <c r="K12" s="122"/>
      <c r="L12" s="122"/>
      <c r="M12" s="122"/>
      <c r="N12" s="122"/>
    </row>
    <row r="13" ht="64.5" customHeight="1">
      <c r="A13" s="122"/>
      <c r="B13" s="151"/>
      <c r="C13" s="129"/>
      <c r="D13" s="129"/>
      <c r="E13" s="129"/>
      <c r="F13" s="129"/>
      <c r="G13" s="129"/>
      <c r="H13" s="130"/>
      <c r="I13" s="122"/>
      <c r="J13" s="122"/>
      <c r="K13" s="122"/>
      <c r="L13" s="122"/>
      <c r="M13" s="122"/>
      <c r="N13" s="122"/>
    </row>
    <row r="14" ht="15.75" customHeight="1">
      <c r="A14" s="119"/>
      <c r="B14" s="119"/>
      <c r="C14" s="119"/>
      <c r="D14" s="119"/>
      <c r="E14" s="119"/>
      <c r="F14" s="119"/>
      <c r="G14" s="119"/>
      <c r="H14" s="119"/>
      <c r="I14" s="119"/>
      <c r="J14" s="119"/>
      <c r="K14" s="119"/>
      <c r="L14" s="119"/>
      <c r="M14" s="119"/>
      <c r="N14" s="119"/>
    </row>
    <row r="15" ht="24.75" customHeight="1">
      <c r="A15" s="122"/>
      <c r="B15" s="150" t="s">
        <v>766</v>
      </c>
      <c r="C15" s="124"/>
      <c r="D15" s="124"/>
      <c r="E15" s="124"/>
      <c r="F15" s="124"/>
      <c r="G15" s="124"/>
      <c r="H15" s="125"/>
      <c r="I15" s="122"/>
      <c r="J15" s="122"/>
      <c r="K15" s="122"/>
      <c r="L15" s="122"/>
      <c r="M15" s="122"/>
      <c r="N15" s="122"/>
    </row>
    <row r="16" ht="64.5" customHeight="1">
      <c r="A16" s="122"/>
      <c r="B16" s="151"/>
      <c r="C16" s="129"/>
      <c r="D16" s="129"/>
      <c r="E16" s="129"/>
      <c r="F16" s="129"/>
      <c r="G16" s="129"/>
      <c r="H16" s="130"/>
      <c r="I16" s="122"/>
      <c r="J16" s="122"/>
      <c r="K16" s="122"/>
      <c r="L16" s="122"/>
      <c r="M16" s="122"/>
      <c r="N16" s="122"/>
    </row>
    <row r="17" ht="24.75" customHeight="1">
      <c r="A17" s="122"/>
      <c r="B17" s="152" t="s">
        <v>767</v>
      </c>
      <c r="C17" s="133"/>
      <c r="D17" s="133"/>
      <c r="E17" s="133"/>
      <c r="F17" s="133"/>
      <c r="G17" s="133"/>
      <c r="H17" s="134"/>
      <c r="I17" s="122"/>
      <c r="J17" s="122"/>
      <c r="K17" s="122"/>
      <c r="L17" s="122"/>
      <c r="M17" s="122"/>
      <c r="N17" s="122"/>
    </row>
    <row r="18" ht="64.5" customHeight="1">
      <c r="A18" s="122"/>
      <c r="B18" s="151"/>
      <c r="C18" s="129"/>
      <c r="D18" s="129"/>
      <c r="E18" s="129"/>
      <c r="F18" s="129"/>
      <c r="G18" s="129"/>
      <c r="H18" s="130"/>
      <c r="I18" s="122"/>
      <c r="J18" s="122"/>
      <c r="K18" s="122"/>
      <c r="L18" s="122"/>
      <c r="M18" s="122"/>
      <c r="N18" s="122"/>
    </row>
    <row r="19" ht="24.75" customHeight="1">
      <c r="A19" s="122"/>
      <c r="B19" s="152" t="s">
        <v>768</v>
      </c>
      <c r="C19" s="133"/>
      <c r="D19" s="133"/>
      <c r="E19" s="133"/>
      <c r="F19" s="133"/>
      <c r="G19" s="133"/>
      <c r="H19" s="134"/>
      <c r="I19" s="122"/>
      <c r="J19" s="122"/>
      <c r="K19" s="122"/>
      <c r="L19" s="122"/>
      <c r="M19" s="122"/>
      <c r="N19" s="122"/>
    </row>
    <row r="20" ht="64.5" customHeight="1">
      <c r="A20" s="122"/>
      <c r="B20" s="153"/>
      <c r="C20" s="129"/>
      <c r="D20" s="129"/>
      <c r="E20" s="129"/>
      <c r="F20" s="129"/>
      <c r="G20" s="129"/>
      <c r="H20" s="130"/>
      <c r="I20" s="122"/>
      <c r="J20" s="122"/>
      <c r="K20" s="122"/>
      <c r="L20" s="122"/>
      <c r="M20" s="122"/>
      <c r="N20" s="122"/>
    </row>
    <row r="21" ht="69.0" customHeight="1">
      <c r="A21" s="119"/>
      <c r="B21" s="119"/>
      <c r="C21" s="119"/>
      <c r="D21" s="119"/>
      <c r="E21" s="119"/>
      <c r="F21" s="119"/>
      <c r="G21" s="119"/>
      <c r="H21" s="119"/>
      <c r="I21" s="119"/>
      <c r="J21" s="119"/>
      <c r="K21" s="119"/>
      <c r="L21" s="119"/>
      <c r="M21" s="119"/>
      <c r="N21" s="119"/>
    </row>
    <row r="22" ht="9.0" customHeight="1">
      <c r="A22" s="119"/>
      <c r="B22" s="154"/>
      <c r="C22" s="154"/>
      <c r="D22" s="154"/>
      <c r="E22" s="154"/>
      <c r="F22" s="154"/>
      <c r="G22" s="154"/>
      <c r="H22" s="154"/>
      <c r="I22" s="154"/>
      <c r="J22" s="154"/>
      <c r="K22" s="154"/>
      <c r="L22" s="154"/>
      <c r="M22" s="154"/>
      <c r="N22" s="119"/>
    </row>
    <row r="23" ht="34.5" customHeight="1">
      <c r="A23" s="122"/>
      <c r="B23" s="155" t="s">
        <v>677</v>
      </c>
      <c r="C23" s="156"/>
      <c r="D23" s="156"/>
      <c r="E23" s="156"/>
      <c r="F23" s="156"/>
      <c r="G23" s="156"/>
      <c r="H23" s="156"/>
      <c r="I23" s="156"/>
      <c r="J23" s="156"/>
      <c r="K23" s="156"/>
      <c r="L23" s="156"/>
      <c r="M23" s="156"/>
      <c r="N23" s="156"/>
    </row>
    <row r="24" ht="25.5" customHeight="1">
      <c r="A24" s="119"/>
      <c r="B24" s="157" t="s">
        <v>678</v>
      </c>
      <c r="D24" s="157"/>
      <c r="E24" s="119"/>
      <c r="F24" s="157" t="s">
        <v>679</v>
      </c>
      <c r="I24" s="119"/>
      <c r="J24" s="158" t="s">
        <v>680</v>
      </c>
      <c r="M24" s="119"/>
      <c r="N24" s="119"/>
    </row>
    <row r="25" ht="54.75" customHeight="1">
      <c r="A25" s="119"/>
      <c r="B25" s="159" t="s">
        <v>681</v>
      </c>
      <c r="C25" s="160">
        <f>COUNTIF(B35:B59, "*")</f>
        <v>0</v>
      </c>
      <c r="D25" s="157"/>
      <c r="E25" s="119"/>
      <c r="F25" s="161" t="s">
        <v>682</v>
      </c>
      <c r="G25" s="162">
        <f>COUNTIF(B64:B213, "*")</f>
        <v>0</v>
      </c>
      <c r="I25" s="119"/>
      <c r="J25" s="163" t="s">
        <v>683</v>
      </c>
      <c r="K25" s="164">
        <f t="shared" ref="K25:K27" si="1">COUNTIF(K63:K212,J25)</f>
        <v>0</v>
      </c>
      <c r="L25" s="119"/>
      <c r="M25" s="119"/>
      <c r="N25" s="119"/>
    </row>
    <row r="26" ht="28.5" customHeight="1">
      <c r="A26" s="119"/>
      <c r="B26" s="165" t="s">
        <v>684</v>
      </c>
      <c r="C26" s="164">
        <f>COUNTIF(H35:H59,B26)</f>
        <v>0</v>
      </c>
      <c r="D26" s="157"/>
      <c r="E26" s="119"/>
      <c r="F26" s="166" t="s">
        <v>685</v>
      </c>
      <c r="G26" s="164">
        <f>COUNTIF(J64:J213,F26)</f>
        <v>0</v>
      </c>
      <c r="I26" s="119"/>
      <c r="J26" s="163" t="s">
        <v>686</v>
      </c>
      <c r="K26" s="164">
        <f t="shared" si="1"/>
        <v>0</v>
      </c>
      <c r="L26" s="119"/>
      <c r="M26" s="119"/>
      <c r="N26" s="119"/>
    </row>
    <row r="27" ht="28.5" customHeight="1">
      <c r="A27" s="119"/>
      <c r="B27" s="167" t="s">
        <v>112</v>
      </c>
      <c r="C27" s="168">
        <f>COUNTIF(H35:H59,B27)</f>
        <v>0</v>
      </c>
      <c r="D27" s="157"/>
      <c r="E27" s="119"/>
      <c r="F27" s="169" t="s">
        <v>687</v>
      </c>
      <c r="G27" s="168">
        <f>COUNTIF(J64:J213,F27)</f>
        <v>0</v>
      </c>
      <c r="I27" s="119"/>
      <c r="J27" s="163" t="s">
        <v>688</v>
      </c>
      <c r="K27" s="164">
        <f t="shared" si="1"/>
        <v>0</v>
      </c>
      <c r="L27" s="119"/>
      <c r="M27" s="119"/>
      <c r="N27" s="119"/>
    </row>
    <row r="28" ht="28.5" customHeight="1">
      <c r="A28" s="119"/>
      <c r="B28" s="167" t="s">
        <v>689</v>
      </c>
      <c r="C28" s="168">
        <f>COUNTIF(H35:H59,B28)</f>
        <v>0</v>
      </c>
      <c r="D28" s="157"/>
      <c r="E28" s="119"/>
      <c r="F28" s="169" t="s">
        <v>690</v>
      </c>
      <c r="G28" s="168">
        <f>COUNTIF(J64:J213,F28)</f>
        <v>0</v>
      </c>
      <c r="I28" s="119"/>
      <c r="J28" s="119"/>
      <c r="K28" s="119"/>
      <c r="L28" s="119"/>
      <c r="M28" s="119"/>
      <c r="N28" s="119"/>
    </row>
    <row r="29" ht="28.5" customHeight="1">
      <c r="A29" s="119"/>
      <c r="B29" s="170" t="s">
        <v>691</v>
      </c>
      <c r="C29" s="168">
        <f>COUNTIF(I35:I59,B29)</f>
        <v>0</v>
      </c>
      <c r="D29" s="157"/>
      <c r="E29" s="119"/>
      <c r="F29" s="169" t="s">
        <v>692</v>
      </c>
      <c r="G29" s="168">
        <f>COUNTIF(J64:J213,F29)</f>
        <v>0</v>
      </c>
      <c r="I29" s="119"/>
      <c r="J29" s="119"/>
      <c r="K29" s="119"/>
      <c r="L29" s="119"/>
      <c r="M29" s="119"/>
      <c r="N29" s="119"/>
    </row>
    <row r="30" ht="28.5" customHeight="1">
      <c r="A30" s="119"/>
      <c r="B30" s="170" t="s">
        <v>693</v>
      </c>
      <c r="C30" s="168">
        <f>COUNTIF(I35:I59,B30)</f>
        <v>0</v>
      </c>
      <c r="D30" s="157"/>
      <c r="E30" s="119"/>
      <c r="F30" s="119"/>
      <c r="G30" s="119"/>
      <c r="H30" s="119"/>
      <c r="I30" s="119"/>
      <c r="J30" s="119"/>
      <c r="K30" s="119"/>
      <c r="L30" s="119"/>
      <c r="M30" s="119"/>
      <c r="N30" s="119"/>
    </row>
    <row r="31" ht="28.5" customHeight="1">
      <c r="A31" s="119"/>
      <c r="B31" s="170" t="s">
        <v>694</v>
      </c>
      <c r="C31" s="168">
        <f>COUNTIF(I35:I59,B31)</f>
        <v>0</v>
      </c>
      <c r="D31" s="157"/>
      <c r="E31" s="119"/>
      <c r="F31" s="119"/>
      <c r="G31" s="119"/>
      <c r="H31" s="119"/>
      <c r="I31" s="119"/>
      <c r="J31" s="119"/>
      <c r="K31" s="119"/>
      <c r="L31" s="119"/>
      <c r="M31" s="119"/>
      <c r="N31" s="119"/>
    </row>
    <row r="32" ht="15.75" customHeight="1">
      <c r="A32" s="119"/>
      <c r="B32" s="119"/>
      <c r="C32" s="119"/>
      <c r="D32" s="119"/>
      <c r="E32" s="119"/>
      <c r="F32" s="119"/>
      <c r="G32" s="119"/>
      <c r="H32" s="119"/>
      <c r="I32" s="119"/>
      <c r="J32" s="119"/>
      <c r="K32" s="119"/>
      <c r="L32" s="119"/>
      <c r="M32" s="119"/>
      <c r="N32" s="119"/>
    </row>
    <row r="33" ht="34.5" customHeight="1">
      <c r="A33" s="122"/>
      <c r="B33" s="171" t="s">
        <v>695</v>
      </c>
      <c r="C33" s="156"/>
      <c r="D33" s="156"/>
      <c r="E33" s="156"/>
      <c r="F33" s="156"/>
      <c r="G33" s="156"/>
      <c r="H33" s="156"/>
      <c r="I33" s="156"/>
      <c r="J33" s="156"/>
      <c r="K33" s="156"/>
      <c r="L33" s="156"/>
      <c r="M33" s="156"/>
      <c r="N33" s="156"/>
    </row>
    <row r="34" ht="39.75" customHeight="1">
      <c r="A34" s="172"/>
      <c r="B34" s="173" t="s">
        <v>696</v>
      </c>
      <c r="C34" s="173" t="s">
        <v>697</v>
      </c>
      <c r="D34" s="174" t="s">
        <v>698</v>
      </c>
      <c r="E34" s="174" t="s">
        <v>699</v>
      </c>
      <c r="F34" s="174" t="s">
        <v>700</v>
      </c>
      <c r="G34" s="175" t="s">
        <v>701</v>
      </c>
      <c r="H34" s="173" t="s">
        <v>702</v>
      </c>
      <c r="I34" s="173" t="s">
        <v>703</v>
      </c>
      <c r="J34" s="176" t="s">
        <v>704</v>
      </c>
      <c r="K34" s="176" t="s">
        <v>652</v>
      </c>
      <c r="L34" s="119"/>
      <c r="M34" s="119"/>
      <c r="N34" s="172"/>
    </row>
    <row r="35" ht="15.75" customHeight="1">
      <c r="A35" s="119"/>
      <c r="B35" s="184"/>
      <c r="C35" s="178"/>
      <c r="D35" s="179"/>
      <c r="E35" s="179"/>
      <c r="F35" s="179"/>
      <c r="G35" s="179"/>
      <c r="H35" s="187"/>
      <c r="I35" s="181"/>
      <c r="J35" s="182"/>
      <c r="K35" s="183"/>
      <c r="L35" s="119"/>
      <c r="M35" s="119"/>
      <c r="N35" s="119"/>
    </row>
    <row r="36" ht="15.75" customHeight="1">
      <c r="A36" s="119"/>
      <c r="B36" s="184"/>
      <c r="C36" s="178"/>
      <c r="D36" s="179"/>
      <c r="E36" s="179"/>
      <c r="F36" s="179"/>
      <c r="G36" s="179"/>
      <c r="H36" s="167"/>
      <c r="I36" s="181"/>
      <c r="J36" s="182"/>
      <c r="K36" s="183"/>
      <c r="L36" s="119"/>
      <c r="M36" s="119"/>
      <c r="N36" s="119"/>
    </row>
    <row r="37" ht="15.75" customHeight="1">
      <c r="A37" s="119"/>
      <c r="B37" s="184"/>
      <c r="C37" s="178"/>
      <c r="D37" s="179"/>
      <c r="E37" s="179"/>
      <c r="F37" s="179"/>
      <c r="G37" s="179"/>
      <c r="H37" s="167"/>
      <c r="I37" s="186"/>
      <c r="J37" s="182"/>
      <c r="K37" s="183"/>
      <c r="L37" s="119"/>
      <c r="M37" s="119"/>
      <c r="N37" s="119"/>
    </row>
    <row r="38" ht="15.75" customHeight="1">
      <c r="A38" s="119"/>
      <c r="B38" s="184"/>
      <c r="C38" s="178"/>
      <c r="D38" s="179"/>
      <c r="E38" s="179"/>
      <c r="F38" s="179"/>
      <c r="G38" s="179"/>
      <c r="H38" s="187"/>
      <c r="I38" s="186"/>
      <c r="J38" s="182"/>
      <c r="K38" s="183"/>
      <c r="L38" s="119"/>
      <c r="M38" s="119"/>
      <c r="N38" s="119"/>
    </row>
    <row r="39" ht="15.75" customHeight="1">
      <c r="A39" s="119"/>
      <c r="B39" s="184"/>
      <c r="C39" s="178"/>
      <c r="D39" s="179"/>
      <c r="E39" s="179"/>
      <c r="F39" s="179"/>
      <c r="G39" s="179"/>
      <c r="H39" s="187"/>
      <c r="I39" s="186"/>
      <c r="J39" s="182"/>
      <c r="K39" s="183"/>
      <c r="L39" s="119"/>
      <c r="M39" s="119"/>
      <c r="N39" s="119"/>
    </row>
    <row r="40" ht="15.75" customHeight="1">
      <c r="A40" s="119"/>
      <c r="B40" s="184"/>
      <c r="C40" s="178"/>
      <c r="D40" s="179"/>
      <c r="E40" s="179"/>
      <c r="F40" s="179"/>
      <c r="G40" s="179"/>
      <c r="H40" s="187"/>
      <c r="I40" s="186"/>
      <c r="J40" s="182"/>
      <c r="K40" s="183"/>
      <c r="L40" s="119"/>
      <c r="M40" s="119"/>
      <c r="N40" s="119"/>
    </row>
    <row r="41" ht="15.75" customHeight="1">
      <c r="A41" s="119"/>
      <c r="B41" s="184"/>
      <c r="C41" s="178"/>
      <c r="D41" s="179"/>
      <c r="E41" s="179"/>
      <c r="F41" s="179"/>
      <c r="G41" s="179"/>
      <c r="H41" s="187"/>
      <c r="I41" s="186"/>
      <c r="J41" s="182"/>
      <c r="K41" s="183"/>
      <c r="L41" s="119"/>
      <c r="M41" s="119"/>
      <c r="N41" s="119"/>
    </row>
    <row r="42" ht="15.75" customHeight="1">
      <c r="A42" s="119"/>
      <c r="B42" s="184"/>
      <c r="C42" s="178"/>
      <c r="D42" s="179"/>
      <c r="E42" s="179"/>
      <c r="F42" s="179"/>
      <c r="G42" s="179"/>
      <c r="H42" s="187"/>
      <c r="I42" s="181"/>
      <c r="J42" s="182"/>
      <c r="K42" s="183"/>
      <c r="L42" s="119"/>
      <c r="M42" s="119"/>
      <c r="N42" s="119"/>
    </row>
    <row r="43" ht="15.75" customHeight="1">
      <c r="A43" s="119"/>
      <c r="B43" s="184"/>
      <c r="C43" s="178"/>
      <c r="D43" s="179"/>
      <c r="E43" s="179"/>
      <c r="F43" s="179"/>
      <c r="G43" s="179"/>
      <c r="H43" s="187"/>
      <c r="I43" s="186"/>
      <c r="J43" s="182"/>
      <c r="K43" s="183"/>
      <c r="L43" s="119"/>
      <c r="M43" s="119"/>
      <c r="N43" s="119"/>
    </row>
    <row r="44" ht="15.75" customHeight="1">
      <c r="A44" s="119"/>
      <c r="B44" s="184"/>
      <c r="C44" s="178"/>
      <c r="D44" s="179"/>
      <c r="E44" s="179"/>
      <c r="F44" s="179"/>
      <c r="G44" s="179"/>
      <c r="H44" s="187"/>
      <c r="I44" s="186"/>
      <c r="J44" s="182"/>
      <c r="K44" s="183"/>
      <c r="L44" s="119"/>
      <c r="M44" s="119"/>
      <c r="N44" s="119"/>
    </row>
    <row r="45" ht="15.75" customHeight="1">
      <c r="A45" s="119"/>
      <c r="B45" s="184"/>
      <c r="C45" s="178"/>
      <c r="D45" s="179"/>
      <c r="E45" s="179"/>
      <c r="F45" s="179"/>
      <c r="G45" s="179"/>
      <c r="H45" s="187"/>
      <c r="I45" s="186"/>
      <c r="J45" s="182"/>
      <c r="K45" s="183"/>
      <c r="L45" s="119"/>
      <c r="M45" s="119"/>
      <c r="N45" s="119"/>
    </row>
    <row r="46" ht="15.75" customHeight="1">
      <c r="A46" s="119"/>
      <c r="B46" s="184"/>
      <c r="C46" s="178"/>
      <c r="D46" s="179"/>
      <c r="E46" s="179"/>
      <c r="F46" s="179"/>
      <c r="G46" s="179"/>
      <c r="H46" s="187"/>
      <c r="I46" s="186"/>
      <c r="J46" s="182"/>
      <c r="K46" s="183"/>
      <c r="L46" s="119"/>
      <c r="M46" s="119"/>
      <c r="N46" s="119"/>
    </row>
    <row r="47" ht="15.75" customHeight="1">
      <c r="A47" s="119"/>
      <c r="B47" s="184"/>
      <c r="C47" s="178"/>
      <c r="D47" s="179"/>
      <c r="E47" s="179"/>
      <c r="F47" s="179"/>
      <c r="G47" s="179"/>
      <c r="H47" s="187"/>
      <c r="I47" s="186"/>
      <c r="J47" s="182"/>
      <c r="K47" s="183"/>
      <c r="L47" s="119"/>
      <c r="M47" s="119"/>
      <c r="N47" s="119"/>
    </row>
    <row r="48" ht="15.75" customHeight="1">
      <c r="A48" s="119"/>
      <c r="B48" s="184"/>
      <c r="C48" s="178"/>
      <c r="D48" s="179"/>
      <c r="E48" s="179"/>
      <c r="F48" s="179"/>
      <c r="G48" s="179"/>
      <c r="H48" s="187"/>
      <c r="I48" s="186"/>
      <c r="J48" s="182"/>
      <c r="K48" s="183"/>
      <c r="L48" s="119"/>
      <c r="M48" s="119"/>
      <c r="N48" s="119"/>
    </row>
    <row r="49" ht="15.75" customHeight="1">
      <c r="A49" s="119"/>
      <c r="B49" s="184"/>
      <c r="C49" s="178"/>
      <c r="D49" s="179"/>
      <c r="E49" s="179"/>
      <c r="F49" s="179"/>
      <c r="G49" s="179"/>
      <c r="H49" s="187"/>
      <c r="I49" s="181"/>
      <c r="J49" s="182"/>
      <c r="K49" s="183"/>
      <c r="L49" s="119"/>
      <c r="M49" s="119"/>
      <c r="N49" s="119"/>
    </row>
    <row r="50" ht="15.75" customHeight="1">
      <c r="A50" s="119"/>
      <c r="B50" s="184"/>
      <c r="C50" s="178"/>
      <c r="D50" s="179"/>
      <c r="E50" s="179"/>
      <c r="F50" s="179"/>
      <c r="G50" s="179"/>
      <c r="H50" s="187"/>
      <c r="I50" s="186"/>
      <c r="J50" s="182"/>
      <c r="K50" s="183"/>
      <c r="L50" s="119"/>
      <c r="M50" s="119"/>
      <c r="N50" s="119"/>
    </row>
    <row r="51" ht="15.75" customHeight="1">
      <c r="A51" s="119"/>
      <c r="B51" s="184"/>
      <c r="C51" s="178"/>
      <c r="D51" s="179"/>
      <c r="E51" s="179"/>
      <c r="F51" s="179"/>
      <c r="G51" s="179"/>
      <c r="H51" s="187"/>
      <c r="I51" s="186"/>
      <c r="J51" s="182"/>
      <c r="K51" s="183"/>
      <c r="L51" s="119"/>
      <c r="M51" s="119"/>
      <c r="N51" s="119"/>
    </row>
    <row r="52" ht="15.75" customHeight="1">
      <c r="A52" s="119"/>
      <c r="B52" s="184"/>
      <c r="C52" s="178"/>
      <c r="D52" s="179"/>
      <c r="E52" s="179"/>
      <c r="F52" s="179"/>
      <c r="G52" s="179"/>
      <c r="H52" s="187"/>
      <c r="I52" s="186"/>
      <c r="J52" s="182"/>
      <c r="K52" s="183"/>
      <c r="L52" s="119"/>
      <c r="M52" s="119"/>
      <c r="N52" s="119"/>
    </row>
    <row r="53" ht="15.75" customHeight="1">
      <c r="A53" s="119"/>
      <c r="B53" s="184"/>
      <c r="C53" s="178"/>
      <c r="D53" s="179"/>
      <c r="E53" s="179"/>
      <c r="F53" s="179"/>
      <c r="G53" s="179"/>
      <c r="H53" s="187"/>
      <c r="I53" s="186"/>
      <c r="J53" s="182"/>
      <c r="K53" s="183"/>
      <c r="L53" s="119"/>
      <c r="M53" s="119"/>
      <c r="N53" s="119"/>
    </row>
    <row r="54" ht="15.75" customHeight="1">
      <c r="A54" s="119"/>
      <c r="B54" s="184"/>
      <c r="C54" s="178"/>
      <c r="D54" s="179"/>
      <c r="E54" s="179"/>
      <c r="F54" s="179"/>
      <c r="G54" s="179"/>
      <c r="H54" s="187"/>
      <c r="I54" s="186"/>
      <c r="J54" s="182"/>
      <c r="K54" s="183"/>
      <c r="L54" s="119"/>
      <c r="M54" s="119"/>
      <c r="N54" s="119"/>
    </row>
    <row r="55" ht="15.75" customHeight="1">
      <c r="A55" s="119"/>
      <c r="B55" s="184"/>
      <c r="C55" s="178"/>
      <c r="D55" s="179"/>
      <c r="E55" s="179"/>
      <c r="F55" s="179"/>
      <c r="G55" s="179"/>
      <c r="H55" s="187"/>
      <c r="I55" s="186"/>
      <c r="J55" s="182"/>
      <c r="K55" s="183"/>
      <c r="L55" s="119"/>
      <c r="M55" s="119"/>
      <c r="N55" s="119"/>
    </row>
    <row r="56" ht="15.75" customHeight="1">
      <c r="A56" s="119"/>
      <c r="B56" s="184"/>
      <c r="C56" s="178"/>
      <c r="D56" s="179"/>
      <c r="E56" s="179"/>
      <c r="F56" s="179"/>
      <c r="G56" s="179"/>
      <c r="H56" s="187"/>
      <c r="I56" s="186"/>
      <c r="J56" s="182"/>
      <c r="K56" s="183"/>
      <c r="L56" s="119"/>
      <c r="M56" s="119"/>
      <c r="N56" s="119"/>
    </row>
    <row r="57" ht="15.75" customHeight="1">
      <c r="A57" s="119"/>
      <c r="B57" s="184"/>
      <c r="C57" s="178"/>
      <c r="D57" s="179"/>
      <c r="E57" s="179"/>
      <c r="F57" s="179"/>
      <c r="G57" s="179"/>
      <c r="H57" s="187"/>
      <c r="I57" s="186"/>
      <c r="J57" s="182"/>
      <c r="K57" s="183"/>
      <c r="L57" s="119"/>
      <c r="M57" s="119"/>
      <c r="N57" s="119"/>
    </row>
    <row r="58" ht="15.75" customHeight="1">
      <c r="A58" s="119"/>
      <c r="B58" s="184"/>
      <c r="C58" s="178"/>
      <c r="D58" s="179"/>
      <c r="E58" s="179"/>
      <c r="F58" s="179"/>
      <c r="G58" s="179"/>
      <c r="H58" s="187"/>
      <c r="I58" s="186"/>
      <c r="J58" s="182"/>
      <c r="K58" s="183"/>
      <c r="L58" s="119"/>
      <c r="M58" s="119"/>
      <c r="N58" s="119"/>
    </row>
    <row r="59" ht="15.75" customHeight="1">
      <c r="A59" s="119"/>
      <c r="B59" s="184"/>
      <c r="C59" s="178"/>
      <c r="D59" s="179"/>
      <c r="E59" s="179"/>
      <c r="F59" s="179"/>
      <c r="G59" s="179"/>
      <c r="H59" s="187"/>
      <c r="I59" s="186"/>
      <c r="J59" s="182"/>
      <c r="K59" s="183"/>
      <c r="L59" s="119"/>
      <c r="M59" s="119"/>
      <c r="N59" s="119"/>
    </row>
    <row r="60" ht="15.75" customHeight="1">
      <c r="A60" s="119"/>
      <c r="B60" s="119"/>
      <c r="C60" s="119"/>
      <c r="D60" s="119"/>
      <c r="E60" s="119"/>
      <c r="F60" s="119"/>
      <c r="G60" s="119"/>
      <c r="H60" s="119"/>
      <c r="I60" s="119"/>
      <c r="J60" s="119"/>
      <c r="K60" s="119"/>
      <c r="L60" s="119"/>
      <c r="M60" s="119"/>
      <c r="N60" s="119"/>
    </row>
    <row r="61" ht="9.75" customHeight="1">
      <c r="A61" s="122"/>
      <c r="B61" s="122"/>
      <c r="C61" s="156"/>
      <c r="D61" s="156"/>
      <c r="E61" s="156"/>
      <c r="F61" s="156"/>
      <c r="G61" s="156"/>
      <c r="H61" s="156"/>
      <c r="I61" s="156"/>
      <c r="J61" s="156"/>
      <c r="K61" s="156"/>
      <c r="L61" s="156"/>
      <c r="M61" s="156"/>
      <c r="N61" s="156"/>
    </row>
    <row r="62" ht="34.5" customHeight="1">
      <c r="A62" s="122"/>
      <c r="B62" s="188" t="s">
        <v>705</v>
      </c>
      <c r="C62" s="156"/>
      <c r="D62" s="156"/>
      <c r="E62" s="156"/>
      <c r="F62" s="156"/>
      <c r="G62" s="156"/>
      <c r="H62" s="156"/>
      <c r="I62" s="156"/>
      <c r="J62" s="156"/>
      <c r="K62" s="156"/>
      <c r="L62" s="156"/>
      <c r="M62" s="156"/>
      <c r="N62" s="156"/>
    </row>
    <row r="63" ht="39.75" customHeight="1">
      <c r="A63" s="172"/>
      <c r="B63" s="189" t="s">
        <v>706</v>
      </c>
      <c r="C63" s="189" t="s">
        <v>707</v>
      </c>
      <c r="D63" s="190" t="s">
        <v>645</v>
      </c>
      <c r="E63" s="191" t="s">
        <v>698</v>
      </c>
      <c r="F63" s="191" t="s">
        <v>708</v>
      </c>
      <c r="G63" s="191" t="s">
        <v>709</v>
      </c>
      <c r="H63" s="191" t="s">
        <v>710</v>
      </c>
      <c r="I63" s="192" t="s">
        <v>701</v>
      </c>
      <c r="J63" s="193" t="s">
        <v>711</v>
      </c>
      <c r="K63" s="194" t="s">
        <v>712</v>
      </c>
      <c r="L63" s="176" t="s">
        <v>713</v>
      </c>
      <c r="M63" s="176" t="s">
        <v>652</v>
      </c>
      <c r="N63" s="172"/>
    </row>
    <row r="64">
      <c r="A64" s="119"/>
      <c r="B64" s="195"/>
      <c r="C64" s="196"/>
      <c r="D64" s="179"/>
      <c r="E64" s="179"/>
      <c r="F64" s="179"/>
      <c r="G64" s="179"/>
      <c r="H64" s="179"/>
      <c r="I64" s="179"/>
      <c r="J64" s="198"/>
      <c r="K64" s="199"/>
      <c r="L64" s="182"/>
      <c r="M64" s="183"/>
      <c r="N64" s="119"/>
    </row>
    <row r="65">
      <c r="A65" s="119"/>
      <c r="B65" s="202"/>
      <c r="C65" s="196"/>
      <c r="D65" s="179"/>
      <c r="E65" s="179"/>
      <c r="F65" s="179"/>
      <c r="G65" s="179"/>
      <c r="H65" s="179"/>
      <c r="I65" s="179"/>
      <c r="J65" s="198"/>
      <c r="K65" s="199"/>
      <c r="L65" s="182"/>
      <c r="M65" s="183"/>
      <c r="N65" s="119"/>
    </row>
    <row r="66">
      <c r="A66" s="119"/>
      <c r="B66" s="202"/>
      <c r="C66" s="196"/>
      <c r="D66" s="179"/>
      <c r="E66" s="179"/>
      <c r="F66" s="179"/>
      <c r="G66" s="179"/>
      <c r="H66" s="179"/>
      <c r="I66" s="179"/>
      <c r="J66" s="198"/>
      <c r="K66" s="199"/>
      <c r="L66" s="182"/>
      <c r="M66" s="183"/>
      <c r="N66" s="119"/>
    </row>
    <row r="67">
      <c r="A67" s="119"/>
      <c r="B67" s="202"/>
      <c r="C67" s="196"/>
      <c r="D67" s="179"/>
      <c r="E67" s="179"/>
      <c r="F67" s="179"/>
      <c r="G67" s="179"/>
      <c r="H67" s="179"/>
      <c r="I67" s="179"/>
      <c r="J67" s="201"/>
      <c r="K67" s="199"/>
      <c r="L67" s="182"/>
      <c r="M67" s="183"/>
      <c r="N67" s="119"/>
    </row>
    <row r="68">
      <c r="A68" s="119"/>
      <c r="B68" s="202"/>
      <c r="C68" s="196"/>
      <c r="D68" s="179"/>
      <c r="E68" s="179"/>
      <c r="F68" s="179"/>
      <c r="G68" s="179"/>
      <c r="H68" s="179"/>
      <c r="I68" s="179"/>
      <c r="J68" s="201"/>
      <c r="K68" s="199"/>
      <c r="L68" s="182"/>
      <c r="M68" s="183"/>
      <c r="N68" s="119"/>
    </row>
    <row r="69">
      <c r="A69" s="119"/>
      <c r="B69" s="202"/>
      <c r="C69" s="196"/>
      <c r="D69" s="179"/>
      <c r="E69" s="179"/>
      <c r="F69" s="179"/>
      <c r="G69" s="179"/>
      <c r="H69" s="179"/>
      <c r="I69" s="179"/>
      <c r="J69" s="201"/>
      <c r="K69" s="199"/>
      <c r="L69" s="182"/>
      <c r="M69" s="183"/>
      <c r="N69" s="119"/>
    </row>
    <row r="70">
      <c r="A70" s="119"/>
      <c r="B70" s="202"/>
      <c r="C70" s="196"/>
      <c r="D70" s="197"/>
      <c r="E70" s="179"/>
      <c r="F70" s="179"/>
      <c r="G70" s="179"/>
      <c r="H70" s="179"/>
      <c r="I70" s="179"/>
      <c r="J70" s="201"/>
      <c r="K70" s="199"/>
      <c r="L70" s="182"/>
      <c r="M70" s="183"/>
      <c r="N70" s="119"/>
    </row>
    <row r="71">
      <c r="A71" s="119"/>
      <c r="B71" s="202"/>
      <c r="C71" s="196"/>
      <c r="D71" s="197"/>
      <c r="E71" s="179"/>
      <c r="F71" s="179"/>
      <c r="G71" s="179"/>
      <c r="H71" s="179"/>
      <c r="I71" s="179"/>
      <c r="J71" s="201"/>
      <c r="K71" s="199"/>
      <c r="L71" s="182"/>
      <c r="M71" s="183"/>
      <c r="N71" s="119"/>
    </row>
    <row r="72">
      <c r="A72" s="119"/>
      <c r="B72" s="202"/>
      <c r="C72" s="196"/>
      <c r="D72" s="197"/>
      <c r="E72" s="179"/>
      <c r="F72" s="179"/>
      <c r="G72" s="179"/>
      <c r="H72" s="179"/>
      <c r="I72" s="179"/>
      <c r="J72" s="201"/>
      <c r="K72" s="199"/>
      <c r="L72" s="182"/>
      <c r="M72" s="183"/>
      <c r="N72" s="119"/>
    </row>
    <row r="73">
      <c r="A73" s="119"/>
      <c r="B73" s="202"/>
      <c r="C73" s="196"/>
      <c r="D73" s="197"/>
      <c r="E73" s="179"/>
      <c r="F73" s="179"/>
      <c r="G73" s="179"/>
      <c r="H73" s="179"/>
      <c r="I73" s="179"/>
      <c r="J73" s="201"/>
      <c r="K73" s="199"/>
      <c r="L73" s="182"/>
      <c r="M73" s="183"/>
      <c r="N73" s="119"/>
    </row>
    <row r="74">
      <c r="A74" s="119"/>
      <c r="B74" s="202"/>
      <c r="C74" s="196"/>
      <c r="D74" s="197"/>
      <c r="E74" s="179"/>
      <c r="F74" s="179"/>
      <c r="G74" s="179"/>
      <c r="H74" s="179"/>
      <c r="I74" s="179"/>
      <c r="J74" s="201"/>
      <c r="K74" s="199"/>
      <c r="L74" s="182"/>
      <c r="M74" s="183"/>
      <c r="N74" s="119"/>
    </row>
    <row r="75">
      <c r="A75" s="119"/>
      <c r="B75" s="202"/>
      <c r="C75" s="196"/>
      <c r="D75" s="197"/>
      <c r="E75" s="179"/>
      <c r="F75" s="179"/>
      <c r="G75" s="179"/>
      <c r="H75" s="179"/>
      <c r="I75" s="179"/>
      <c r="J75" s="201"/>
      <c r="K75" s="199"/>
      <c r="L75" s="182"/>
      <c r="M75" s="183"/>
      <c r="N75" s="119"/>
    </row>
    <row r="76">
      <c r="A76" s="119"/>
      <c r="B76" s="202"/>
      <c r="C76" s="196"/>
      <c r="D76" s="197"/>
      <c r="E76" s="179"/>
      <c r="F76" s="179"/>
      <c r="G76" s="179"/>
      <c r="H76" s="179"/>
      <c r="I76" s="179"/>
      <c r="J76" s="201"/>
      <c r="K76" s="199"/>
      <c r="L76" s="182"/>
      <c r="M76" s="183"/>
      <c r="N76" s="119"/>
    </row>
    <row r="77">
      <c r="A77" s="119"/>
      <c r="B77" s="202"/>
      <c r="C77" s="196"/>
      <c r="D77" s="197"/>
      <c r="E77" s="179"/>
      <c r="F77" s="179"/>
      <c r="G77" s="179"/>
      <c r="H77" s="179"/>
      <c r="I77" s="179"/>
      <c r="J77" s="201"/>
      <c r="K77" s="199"/>
      <c r="L77" s="182"/>
      <c r="M77" s="183"/>
      <c r="N77" s="119"/>
    </row>
    <row r="78">
      <c r="A78" s="119"/>
      <c r="B78" s="202"/>
      <c r="C78" s="196"/>
      <c r="D78" s="197"/>
      <c r="E78" s="179"/>
      <c r="F78" s="179"/>
      <c r="G78" s="179"/>
      <c r="H78" s="179"/>
      <c r="I78" s="179"/>
      <c r="J78" s="201"/>
      <c r="K78" s="199"/>
      <c r="L78" s="182"/>
      <c r="M78" s="183"/>
      <c r="N78" s="119"/>
    </row>
    <row r="79">
      <c r="A79" s="119"/>
      <c r="B79" s="202"/>
      <c r="C79" s="196"/>
      <c r="D79" s="197"/>
      <c r="E79" s="179"/>
      <c r="F79" s="179"/>
      <c r="G79" s="179"/>
      <c r="H79" s="179"/>
      <c r="I79" s="179"/>
      <c r="J79" s="201"/>
      <c r="K79" s="199"/>
      <c r="L79" s="182"/>
      <c r="M79" s="183"/>
      <c r="N79" s="119"/>
    </row>
    <row r="80">
      <c r="A80" s="119"/>
      <c r="B80" s="202"/>
      <c r="C80" s="196"/>
      <c r="D80" s="197"/>
      <c r="E80" s="179"/>
      <c r="F80" s="179"/>
      <c r="G80" s="179"/>
      <c r="H80" s="179"/>
      <c r="I80" s="179"/>
      <c r="J80" s="201"/>
      <c r="K80" s="199"/>
      <c r="L80" s="182"/>
      <c r="M80" s="183"/>
      <c r="N80" s="119"/>
    </row>
    <row r="81">
      <c r="A81" s="119"/>
      <c r="B81" s="202"/>
      <c r="C81" s="196"/>
      <c r="D81" s="197"/>
      <c r="E81" s="179"/>
      <c r="F81" s="179"/>
      <c r="G81" s="179"/>
      <c r="H81" s="179"/>
      <c r="I81" s="179"/>
      <c r="J81" s="201"/>
      <c r="K81" s="199"/>
      <c r="L81" s="182"/>
      <c r="M81" s="183"/>
      <c r="N81" s="119"/>
    </row>
    <row r="82">
      <c r="A82" s="119"/>
      <c r="B82" s="202"/>
      <c r="C82" s="196"/>
      <c r="D82" s="197"/>
      <c r="E82" s="179"/>
      <c r="F82" s="179"/>
      <c r="G82" s="179"/>
      <c r="H82" s="179"/>
      <c r="I82" s="179"/>
      <c r="J82" s="201"/>
      <c r="K82" s="199"/>
      <c r="L82" s="182"/>
      <c r="M82" s="183"/>
      <c r="N82" s="119"/>
    </row>
    <row r="83">
      <c r="A83" s="119"/>
      <c r="B83" s="202"/>
      <c r="C83" s="196"/>
      <c r="D83" s="197"/>
      <c r="E83" s="179"/>
      <c r="F83" s="179"/>
      <c r="G83" s="179"/>
      <c r="H83" s="179"/>
      <c r="I83" s="179"/>
      <c r="J83" s="201"/>
      <c r="K83" s="199"/>
      <c r="L83" s="182"/>
      <c r="M83" s="183"/>
      <c r="N83" s="119"/>
    </row>
    <row r="84">
      <c r="A84" s="119"/>
      <c r="B84" s="202"/>
      <c r="C84" s="196"/>
      <c r="D84" s="197"/>
      <c r="E84" s="179"/>
      <c r="F84" s="179"/>
      <c r="G84" s="179"/>
      <c r="H84" s="179"/>
      <c r="I84" s="179"/>
      <c r="J84" s="201"/>
      <c r="K84" s="199"/>
      <c r="L84" s="182"/>
      <c r="M84" s="183"/>
      <c r="N84" s="119"/>
    </row>
    <row r="85">
      <c r="A85" s="119"/>
      <c r="B85" s="202"/>
      <c r="C85" s="196"/>
      <c r="D85" s="197"/>
      <c r="E85" s="179"/>
      <c r="F85" s="179"/>
      <c r="G85" s="179"/>
      <c r="H85" s="179"/>
      <c r="I85" s="179"/>
      <c r="J85" s="201"/>
      <c r="K85" s="199"/>
      <c r="L85" s="182"/>
      <c r="M85" s="183"/>
      <c r="N85" s="119"/>
    </row>
    <row r="86">
      <c r="A86" s="119"/>
      <c r="B86" s="202"/>
      <c r="C86" s="196"/>
      <c r="D86" s="197"/>
      <c r="E86" s="179"/>
      <c r="F86" s="179"/>
      <c r="G86" s="179"/>
      <c r="H86" s="179"/>
      <c r="I86" s="179"/>
      <c r="J86" s="201"/>
      <c r="K86" s="199"/>
      <c r="L86" s="182"/>
      <c r="M86" s="183"/>
      <c r="N86" s="119"/>
    </row>
    <row r="87">
      <c r="A87" s="119"/>
      <c r="B87" s="202"/>
      <c r="C87" s="196"/>
      <c r="D87" s="197"/>
      <c r="E87" s="179"/>
      <c r="F87" s="179"/>
      <c r="G87" s="179"/>
      <c r="H87" s="179"/>
      <c r="I87" s="179"/>
      <c r="J87" s="201"/>
      <c r="K87" s="199"/>
      <c r="L87" s="182"/>
      <c r="M87" s="183"/>
      <c r="N87" s="119"/>
    </row>
    <row r="88">
      <c r="A88" s="119"/>
      <c r="B88" s="202"/>
      <c r="C88" s="196"/>
      <c r="D88" s="197"/>
      <c r="E88" s="179"/>
      <c r="F88" s="179"/>
      <c r="G88" s="179"/>
      <c r="H88" s="179"/>
      <c r="I88" s="179"/>
      <c r="J88" s="201"/>
      <c r="K88" s="199"/>
      <c r="L88" s="182"/>
      <c r="M88" s="183"/>
      <c r="N88" s="119"/>
    </row>
    <row r="89">
      <c r="A89" s="119"/>
      <c r="B89" s="202"/>
      <c r="C89" s="196"/>
      <c r="D89" s="197"/>
      <c r="E89" s="179"/>
      <c r="F89" s="179"/>
      <c r="G89" s="179"/>
      <c r="H89" s="179"/>
      <c r="I89" s="179"/>
      <c r="J89" s="201"/>
      <c r="K89" s="199"/>
      <c r="L89" s="182"/>
      <c r="M89" s="183"/>
      <c r="N89" s="119"/>
    </row>
    <row r="90">
      <c r="A90" s="119"/>
      <c r="B90" s="202"/>
      <c r="C90" s="196"/>
      <c r="D90" s="197"/>
      <c r="E90" s="179"/>
      <c r="F90" s="179"/>
      <c r="G90" s="179"/>
      <c r="H90" s="179"/>
      <c r="I90" s="179"/>
      <c r="J90" s="201"/>
      <c r="K90" s="199"/>
      <c r="L90" s="182"/>
      <c r="M90" s="183"/>
      <c r="N90" s="119"/>
    </row>
    <row r="91">
      <c r="A91" s="119"/>
      <c r="B91" s="202"/>
      <c r="C91" s="196"/>
      <c r="D91" s="197"/>
      <c r="E91" s="179"/>
      <c r="F91" s="179"/>
      <c r="G91" s="179"/>
      <c r="H91" s="179"/>
      <c r="I91" s="179"/>
      <c r="J91" s="201"/>
      <c r="K91" s="199"/>
      <c r="L91" s="182"/>
      <c r="M91" s="183"/>
      <c r="N91" s="119"/>
    </row>
    <row r="92">
      <c r="A92" s="119"/>
      <c r="B92" s="202"/>
      <c r="C92" s="196"/>
      <c r="D92" s="197"/>
      <c r="E92" s="179"/>
      <c r="F92" s="179"/>
      <c r="G92" s="179"/>
      <c r="H92" s="179"/>
      <c r="I92" s="179"/>
      <c r="J92" s="201"/>
      <c r="K92" s="199"/>
      <c r="L92" s="182"/>
      <c r="M92" s="183"/>
      <c r="N92" s="119"/>
    </row>
    <row r="93">
      <c r="A93" s="119"/>
      <c r="B93" s="202"/>
      <c r="C93" s="196"/>
      <c r="D93" s="197"/>
      <c r="E93" s="179"/>
      <c r="F93" s="179"/>
      <c r="G93" s="179"/>
      <c r="H93" s="179"/>
      <c r="I93" s="179"/>
      <c r="J93" s="201"/>
      <c r="K93" s="199"/>
      <c r="L93" s="182"/>
      <c r="M93" s="183"/>
      <c r="N93" s="119"/>
    </row>
    <row r="94">
      <c r="A94" s="119"/>
      <c r="B94" s="202"/>
      <c r="C94" s="196"/>
      <c r="D94" s="197"/>
      <c r="E94" s="179"/>
      <c r="F94" s="179"/>
      <c r="G94" s="179"/>
      <c r="H94" s="179"/>
      <c r="I94" s="179"/>
      <c r="J94" s="201"/>
      <c r="K94" s="199"/>
      <c r="L94" s="182"/>
      <c r="M94" s="183"/>
      <c r="N94" s="119"/>
    </row>
    <row r="95">
      <c r="A95" s="119"/>
      <c r="B95" s="202"/>
      <c r="C95" s="196"/>
      <c r="D95" s="197"/>
      <c r="E95" s="179"/>
      <c r="F95" s="179"/>
      <c r="G95" s="179"/>
      <c r="H95" s="179"/>
      <c r="I95" s="179"/>
      <c r="J95" s="201"/>
      <c r="K95" s="199"/>
      <c r="L95" s="182"/>
      <c r="M95" s="183"/>
      <c r="N95" s="119"/>
    </row>
    <row r="96">
      <c r="A96" s="119"/>
      <c r="B96" s="202"/>
      <c r="C96" s="196"/>
      <c r="D96" s="197"/>
      <c r="E96" s="179"/>
      <c r="F96" s="179"/>
      <c r="G96" s="179"/>
      <c r="H96" s="179"/>
      <c r="I96" s="179"/>
      <c r="J96" s="201"/>
      <c r="K96" s="199"/>
      <c r="L96" s="182"/>
      <c r="M96" s="183"/>
      <c r="N96" s="119"/>
    </row>
    <row r="97">
      <c r="A97" s="119"/>
      <c r="B97" s="202"/>
      <c r="C97" s="196"/>
      <c r="D97" s="197"/>
      <c r="E97" s="179"/>
      <c r="F97" s="179"/>
      <c r="G97" s="179"/>
      <c r="H97" s="179"/>
      <c r="I97" s="179"/>
      <c r="J97" s="201"/>
      <c r="K97" s="199"/>
      <c r="L97" s="182"/>
      <c r="M97" s="183"/>
      <c r="N97" s="119"/>
    </row>
    <row r="98">
      <c r="A98" s="119"/>
      <c r="B98" s="202"/>
      <c r="C98" s="196"/>
      <c r="D98" s="197"/>
      <c r="E98" s="179"/>
      <c r="F98" s="179"/>
      <c r="G98" s="179"/>
      <c r="H98" s="179"/>
      <c r="I98" s="179"/>
      <c r="J98" s="201"/>
      <c r="K98" s="199"/>
      <c r="L98" s="182"/>
      <c r="M98" s="183"/>
      <c r="N98" s="119"/>
    </row>
    <row r="99">
      <c r="A99" s="119"/>
      <c r="B99" s="202"/>
      <c r="C99" s="196"/>
      <c r="D99" s="197"/>
      <c r="E99" s="179"/>
      <c r="F99" s="179"/>
      <c r="G99" s="179"/>
      <c r="H99" s="179"/>
      <c r="I99" s="179"/>
      <c r="J99" s="201"/>
      <c r="K99" s="199"/>
      <c r="L99" s="182"/>
      <c r="M99" s="183"/>
      <c r="N99" s="119"/>
    </row>
    <row r="100">
      <c r="A100" s="119"/>
      <c r="B100" s="202"/>
      <c r="C100" s="196"/>
      <c r="D100" s="197"/>
      <c r="E100" s="179"/>
      <c r="F100" s="179"/>
      <c r="G100" s="179"/>
      <c r="H100" s="179"/>
      <c r="I100" s="179"/>
      <c r="J100" s="201"/>
      <c r="K100" s="199"/>
      <c r="L100" s="182"/>
      <c r="M100" s="183"/>
      <c r="N100" s="119"/>
    </row>
    <row r="101">
      <c r="A101" s="119"/>
      <c r="B101" s="202"/>
      <c r="C101" s="196"/>
      <c r="D101" s="197"/>
      <c r="E101" s="179"/>
      <c r="F101" s="179"/>
      <c r="G101" s="179"/>
      <c r="H101" s="179"/>
      <c r="I101" s="179"/>
      <c r="J101" s="201"/>
      <c r="K101" s="199"/>
      <c r="L101" s="182"/>
      <c r="M101" s="183"/>
      <c r="N101" s="119"/>
    </row>
    <row r="102">
      <c r="A102" s="119"/>
      <c r="B102" s="202"/>
      <c r="C102" s="196"/>
      <c r="D102" s="197"/>
      <c r="E102" s="179"/>
      <c r="F102" s="179"/>
      <c r="G102" s="179"/>
      <c r="H102" s="179"/>
      <c r="I102" s="179"/>
      <c r="J102" s="201"/>
      <c r="K102" s="199"/>
      <c r="L102" s="182"/>
      <c r="M102" s="183"/>
      <c r="N102" s="119"/>
    </row>
    <row r="103">
      <c r="A103" s="119"/>
      <c r="B103" s="202"/>
      <c r="C103" s="196"/>
      <c r="D103" s="197"/>
      <c r="E103" s="179"/>
      <c r="F103" s="179"/>
      <c r="G103" s="179"/>
      <c r="H103" s="179"/>
      <c r="I103" s="179"/>
      <c r="J103" s="201"/>
      <c r="K103" s="199"/>
      <c r="L103" s="182"/>
      <c r="M103" s="183"/>
      <c r="N103" s="119"/>
    </row>
    <row r="104">
      <c r="A104" s="119"/>
      <c r="B104" s="202"/>
      <c r="C104" s="196"/>
      <c r="D104" s="197"/>
      <c r="E104" s="179"/>
      <c r="F104" s="179"/>
      <c r="G104" s="179"/>
      <c r="H104" s="179"/>
      <c r="I104" s="179"/>
      <c r="J104" s="201"/>
      <c r="K104" s="199"/>
      <c r="L104" s="182"/>
      <c r="M104" s="183"/>
      <c r="N104" s="119"/>
    </row>
    <row r="105">
      <c r="A105" s="119"/>
      <c r="B105" s="202"/>
      <c r="C105" s="196"/>
      <c r="D105" s="197"/>
      <c r="E105" s="179"/>
      <c r="F105" s="179"/>
      <c r="G105" s="179"/>
      <c r="H105" s="179"/>
      <c r="I105" s="179"/>
      <c r="J105" s="201"/>
      <c r="K105" s="199"/>
      <c r="L105" s="182"/>
      <c r="M105" s="183"/>
      <c r="N105" s="119"/>
    </row>
    <row r="106">
      <c r="A106" s="119"/>
      <c r="B106" s="202"/>
      <c r="C106" s="196"/>
      <c r="D106" s="197"/>
      <c r="E106" s="179"/>
      <c r="F106" s="179"/>
      <c r="G106" s="179"/>
      <c r="H106" s="179"/>
      <c r="I106" s="179"/>
      <c r="J106" s="201"/>
      <c r="K106" s="199"/>
      <c r="L106" s="182"/>
      <c r="M106" s="183"/>
      <c r="N106" s="119"/>
    </row>
    <row r="107">
      <c r="A107" s="119"/>
      <c r="B107" s="202"/>
      <c r="C107" s="196"/>
      <c r="D107" s="197"/>
      <c r="E107" s="179"/>
      <c r="F107" s="179"/>
      <c r="G107" s="179"/>
      <c r="H107" s="179"/>
      <c r="I107" s="179"/>
      <c r="J107" s="201"/>
      <c r="K107" s="199"/>
      <c r="L107" s="182"/>
      <c r="M107" s="183"/>
      <c r="N107" s="119"/>
    </row>
    <row r="108">
      <c r="A108" s="119"/>
      <c r="B108" s="202"/>
      <c r="C108" s="196"/>
      <c r="D108" s="197"/>
      <c r="E108" s="179"/>
      <c r="F108" s="179"/>
      <c r="G108" s="179"/>
      <c r="H108" s="179"/>
      <c r="I108" s="179"/>
      <c r="J108" s="201"/>
      <c r="K108" s="199"/>
      <c r="L108" s="182"/>
      <c r="M108" s="183"/>
      <c r="N108" s="119"/>
    </row>
    <row r="109">
      <c r="A109" s="119"/>
      <c r="B109" s="202"/>
      <c r="C109" s="196"/>
      <c r="D109" s="197"/>
      <c r="E109" s="179"/>
      <c r="F109" s="179"/>
      <c r="G109" s="179"/>
      <c r="H109" s="179"/>
      <c r="I109" s="179"/>
      <c r="J109" s="201"/>
      <c r="K109" s="199"/>
      <c r="L109" s="182"/>
      <c r="M109" s="183"/>
      <c r="N109" s="119"/>
    </row>
    <row r="110">
      <c r="A110" s="119"/>
      <c r="B110" s="202"/>
      <c r="C110" s="196"/>
      <c r="D110" s="197"/>
      <c r="E110" s="179"/>
      <c r="F110" s="179"/>
      <c r="G110" s="179"/>
      <c r="H110" s="179"/>
      <c r="I110" s="179"/>
      <c r="J110" s="201"/>
      <c r="K110" s="199"/>
      <c r="L110" s="182"/>
      <c r="M110" s="183"/>
      <c r="N110" s="119"/>
    </row>
    <row r="111">
      <c r="A111" s="119"/>
      <c r="B111" s="202"/>
      <c r="C111" s="196"/>
      <c r="D111" s="197"/>
      <c r="E111" s="179"/>
      <c r="F111" s="179"/>
      <c r="G111" s="179"/>
      <c r="H111" s="179"/>
      <c r="I111" s="179"/>
      <c r="J111" s="201"/>
      <c r="K111" s="199"/>
      <c r="L111" s="182"/>
      <c r="M111" s="183"/>
      <c r="N111" s="119"/>
    </row>
    <row r="112">
      <c r="A112" s="119"/>
      <c r="B112" s="202"/>
      <c r="C112" s="196"/>
      <c r="D112" s="197"/>
      <c r="E112" s="179"/>
      <c r="F112" s="179"/>
      <c r="G112" s="179"/>
      <c r="H112" s="179"/>
      <c r="I112" s="179"/>
      <c r="J112" s="201"/>
      <c r="K112" s="199"/>
      <c r="L112" s="182"/>
      <c r="M112" s="183"/>
      <c r="N112" s="119"/>
    </row>
    <row r="113">
      <c r="A113" s="119"/>
      <c r="B113" s="202"/>
      <c r="C113" s="196"/>
      <c r="D113" s="197"/>
      <c r="E113" s="179"/>
      <c r="F113" s="179"/>
      <c r="G113" s="179"/>
      <c r="H113" s="179"/>
      <c r="I113" s="179"/>
      <c r="J113" s="201"/>
      <c r="K113" s="199"/>
      <c r="L113" s="182"/>
      <c r="M113" s="183"/>
      <c r="N113" s="119"/>
    </row>
    <row r="114">
      <c r="A114" s="119"/>
      <c r="B114" s="202"/>
      <c r="C114" s="196"/>
      <c r="D114" s="197"/>
      <c r="E114" s="179"/>
      <c r="F114" s="179"/>
      <c r="G114" s="179"/>
      <c r="H114" s="179"/>
      <c r="I114" s="179"/>
      <c r="J114" s="201"/>
      <c r="K114" s="199"/>
      <c r="L114" s="182"/>
      <c r="M114" s="183"/>
      <c r="N114" s="119"/>
    </row>
    <row r="115">
      <c r="A115" s="119"/>
      <c r="B115" s="202"/>
      <c r="C115" s="196"/>
      <c r="D115" s="197"/>
      <c r="E115" s="179"/>
      <c r="F115" s="179"/>
      <c r="G115" s="179"/>
      <c r="H115" s="179"/>
      <c r="I115" s="179"/>
      <c r="J115" s="201"/>
      <c r="K115" s="199"/>
      <c r="L115" s="182"/>
      <c r="M115" s="183"/>
      <c r="N115" s="119"/>
    </row>
    <row r="116">
      <c r="A116" s="119"/>
      <c r="B116" s="202"/>
      <c r="C116" s="196"/>
      <c r="D116" s="197"/>
      <c r="E116" s="179"/>
      <c r="F116" s="179"/>
      <c r="G116" s="179"/>
      <c r="H116" s="179"/>
      <c r="I116" s="179"/>
      <c r="J116" s="201"/>
      <c r="K116" s="199"/>
      <c r="L116" s="182"/>
      <c r="M116" s="183"/>
      <c r="N116" s="119"/>
    </row>
    <row r="117">
      <c r="A117" s="119"/>
      <c r="B117" s="202"/>
      <c r="C117" s="196"/>
      <c r="D117" s="197"/>
      <c r="E117" s="179"/>
      <c r="F117" s="179"/>
      <c r="G117" s="179"/>
      <c r="H117" s="179"/>
      <c r="I117" s="179"/>
      <c r="J117" s="201"/>
      <c r="K117" s="199"/>
      <c r="L117" s="182"/>
      <c r="M117" s="183"/>
      <c r="N117" s="119"/>
    </row>
    <row r="118">
      <c r="A118" s="119"/>
      <c r="B118" s="202"/>
      <c r="C118" s="196"/>
      <c r="D118" s="197"/>
      <c r="E118" s="179"/>
      <c r="F118" s="179"/>
      <c r="G118" s="179"/>
      <c r="H118" s="179"/>
      <c r="I118" s="179"/>
      <c r="J118" s="201"/>
      <c r="K118" s="199"/>
      <c r="L118" s="182"/>
      <c r="M118" s="183"/>
      <c r="N118" s="119"/>
    </row>
    <row r="119">
      <c r="A119" s="119"/>
      <c r="B119" s="202"/>
      <c r="C119" s="196"/>
      <c r="D119" s="197"/>
      <c r="E119" s="179"/>
      <c r="F119" s="179"/>
      <c r="G119" s="179"/>
      <c r="H119" s="179"/>
      <c r="I119" s="179"/>
      <c r="J119" s="201"/>
      <c r="K119" s="199"/>
      <c r="L119" s="182"/>
      <c r="M119" s="183"/>
      <c r="N119" s="119"/>
    </row>
    <row r="120">
      <c r="A120" s="119"/>
      <c r="B120" s="202"/>
      <c r="C120" s="196"/>
      <c r="D120" s="197"/>
      <c r="E120" s="179"/>
      <c r="F120" s="179"/>
      <c r="G120" s="179"/>
      <c r="H120" s="179"/>
      <c r="I120" s="179"/>
      <c r="J120" s="201"/>
      <c r="K120" s="199"/>
      <c r="L120" s="182"/>
      <c r="M120" s="183"/>
      <c r="N120" s="119"/>
    </row>
    <row r="121">
      <c r="A121" s="119"/>
      <c r="B121" s="202"/>
      <c r="C121" s="196"/>
      <c r="D121" s="197"/>
      <c r="E121" s="179"/>
      <c r="F121" s="179"/>
      <c r="G121" s="179"/>
      <c r="H121" s="179"/>
      <c r="I121" s="179"/>
      <c r="J121" s="201"/>
      <c r="K121" s="199"/>
      <c r="L121" s="182"/>
      <c r="M121" s="183"/>
      <c r="N121" s="119"/>
    </row>
    <row r="122">
      <c r="A122" s="119"/>
      <c r="B122" s="202"/>
      <c r="C122" s="196"/>
      <c r="D122" s="197"/>
      <c r="E122" s="179"/>
      <c r="F122" s="179"/>
      <c r="G122" s="179"/>
      <c r="H122" s="179"/>
      <c r="I122" s="179"/>
      <c r="J122" s="201"/>
      <c r="K122" s="199"/>
      <c r="L122" s="182"/>
      <c r="M122" s="183"/>
      <c r="N122" s="119"/>
    </row>
    <row r="123">
      <c r="A123" s="119"/>
      <c r="B123" s="202"/>
      <c r="C123" s="196"/>
      <c r="D123" s="197"/>
      <c r="E123" s="179"/>
      <c r="F123" s="179"/>
      <c r="G123" s="179"/>
      <c r="H123" s="179"/>
      <c r="I123" s="179"/>
      <c r="J123" s="201"/>
      <c r="K123" s="199"/>
      <c r="L123" s="182"/>
      <c r="M123" s="183"/>
      <c r="N123" s="119"/>
    </row>
    <row r="124">
      <c r="A124" s="119"/>
      <c r="B124" s="202"/>
      <c r="C124" s="196"/>
      <c r="D124" s="197"/>
      <c r="E124" s="179"/>
      <c r="F124" s="179"/>
      <c r="G124" s="179"/>
      <c r="H124" s="179"/>
      <c r="I124" s="179"/>
      <c r="J124" s="201"/>
      <c r="K124" s="199"/>
      <c r="L124" s="182"/>
      <c r="M124" s="183"/>
      <c r="N124" s="119"/>
    </row>
    <row r="125">
      <c r="A125" s="119"/>
      <c r="B125" s="202"/>
      <c r="C125" s="196"/>
      <c r="D125" s="197"/>
      <c r="E125" s="179"/>
      <c r="F125" s="179"/>
      <c r="G125" s="179"/>
      <c r="H125" s="179"/>
      <c r="I125" s="179"/>
      <c r="J125" s="201"/>
      <c r="K125" s="199"/>
      <c r="L125" s="182"/>
      <c r="M125" s="183"/>
      <c r="N125" s="119"/>
    </row>
    <row r="126">
      <c r="A126" s="119"/>
      <c r="B126" s="202"/>
      <c r="C126" s="196"/>
      <c r="D126" s="197"/>
      <c r="E126" s="179"/>
      <c r="F126" s="179"/>
      <c r="G126" s="179"/>
      <c r="H126" s="179"/>
      <c r="I126" s="179"/>
      <c r="J126" s="201"/>
      <c r="K126" s="199"/>
      <c r="L126" s="182"/>
      <c r="M126" s="183"/>
      <c r="N126" s="119"/>
    </row>
    <row r="127">
      <c r="A127" s="119"/>
      <c r="B127" s="202"/>
      <c r="C127" s="196"/>
      <c r="D127" s="197"/>
      <c r="E127" s="179"/>
      <c r="F127" s="179"/>
      <c r="G127" s="179"/>
      <c r="H127" s="179"/>
      <c r="I127" s="179"/>
      <c r="J127" s="201"/>
      <c r="K127" s="199"/>
      <c r="L127" s="182"/>
      <c r="M127" s="183"/>
      <c r="N127" s="119"/>
    </row>
    <row r="128">
      <c r="A128" s="119"/>
      <c r="B128" s="202"/>
      <c r="C128" s="196"/>
      <c r="D128" s="197"/>
      <c r="E128" s="179"/>
      <c r="F128" s="179"/>
      <c r="G128" s="179"/>
      <c r="H128" s="179"/>
      <c r="I128" s="179"/>
      <c r="J128" s="201"/>
      <c r="K128" s="199"/>
      <c r="L128" s="182"/>
      <c r="M128" s="183"/>
      <c r="N128" s="119"/>
    </row>
    <row r="129">
      <c r="A129" s="119"/>
      <c r="B129" s="202"/>
      <c r="C129" s="196"/>
      <c r="D129" s="197"/>
      <c r="E129" s="179"/>
      <c r="F129" s="179"/>
      <c r="G129" s="179"/>
      <c r="H129" s="179"/>
      <c r="I129" s="179"/>
      <c r="J129" s="201"/>
      <c r="K129" s="199"/>
      <c r="L129" s="182"/>
      <c r="M129" s="183"/>
      <c r="N129" s="119"/>
    </row>
    <row r="130">
      <c r="A130" s="119"/>
      <c r="B130" s="202"/>
      <c r="C130" s="196"/>
      <c r="D130" s="197"/>
      <c r="E130" s="179"/>
      <c r="F130" s="179"/>
      <c r="G130" s="179"/>
      <c r="H130" s="179"/>
      <c r="I130" s="179"/>
      <c r="J130" s="201"/>
      <c r="K130" s="199"/>
      <c r="L130" s="182"/>
      <c r="M130" s="183"/>
      <c r="N130" s="119"/>
    </row>
    <row r="131">
      <c r="A131" s="119"/>
      <c r="B131" s="202"/>
      <c r="C131" s="196"/>
      <c r="D131" s="197"/>
      <c r="E131" s="179"/>
      <c r="F131" s="179"/>
      <c r="G131" s="179"/>
      <c r="H131" s="179"/>
      <c r="I131" s="179"/>
      <c r="J131" s="201"/>
      <c r="K131" s="199"/>
      <c r="L131" s="182"/>
      <c r="M131" s="183"/>
      <c r="N131" s="119"/>
    </row>
    <row r="132">
      <c r="A132" s="119"/>
      <c r="B132" s="202"/>
      <c r="C132" s="196"/>
      <c r="D132" s="197"/>
      <c r="E132" s="179"/>
      <c r="F132" s="179"/>
      <c r="G132" s="179"/>
      <c r="H132" s="179"/>
      <c r="I132" s="179"/>
      <c r="J132" s="201"/>
      <c r="K132" s="199"/>
      <c r="L132" s="182"/>
      <c r="M132" s="183"/>
      <c r="N132" s="119"/>
    </row>
    <row r="133">
      <c r="A133" s="119"/>
      <c r="B133" s="202"/>
      <c r="C133" s="196"/>
      <c r="D133" s="197"/>
      <c r="E133" s="179"/>
      <c r="F133" s="179"/>
      <c r="G133" s="179"/>
      <c r="H133" s="179"/>
      <c r="I133" s="179"/>
      <c r="J133" s="201"/>
      <c r="K133" s="199"/>
      <c r="L133" s="182"/>
      <c r="M133" s="183"/>
      <c r="N133" s="119"/>
    </row>
    <row r="134">
      <c r="A134" s="119"/>
      <c r="B134" s="202"/>
      <c r="C134" s="196"/>
      <c r="D134" s="197"/>
      <c r="E134" s="179"/>
      <c r="F134" s="179"/>
      <c r="G134" s="179"/>
      <c r="H134" s="179"/>
      <c r="I134" s="179"/>
      <c r="J134" s="201"/>
      <c r="K134" s="199"/>
      <c r="L134" s="182"/>
      <c r="M134" s="183"/>
      <c r="N134" s="119"/>
    </row>
    <row r="135">
      <c r="A135" s="119"/>
      <c r="B135" s="202"/>
      <c r="C135" s="196"/>
      <c r="D135" s="197"/>
      <c r="E135" s="179"/>
      <c r="F135" s="179"/>
      <c r="G135" s="179"/>
      <c r="H135" s="179"/>
      <c r="I135" s="179"/>
      <c r="J135" s="201"/>
      <c r="K135" s="199"/>
      <c r="L135" s="182"/>
      <c r="M135" s="183"/>
      <c r="N135" s="119"/>
    </row>
    <row r="136">
      <c r="A136" s="119"/>
      <c r="B136" s="202"/>
      <c r="C136" s="196"/>
      <c r="D136" s="197"/>
      <c r="E136" s="179"/>
      <c r="F136" s="179"/>
      <c r="G136" s="179"/>
      <c r="H136" s="179"/>
      <c r="I136" s="179"/>
      <c r="J136" s="201"/>
      <c r="K136" s="199"/>
      <c r="L136" s="182"/>
      <c r="M136" s="183"/>
      <c r="N136" s="119"/>
    </row>
    <row r="137">
      <c r="A137" s="119"/>
      <c r="B137" s="202"/>
      <c r="C137" s="196"/>
      <c r="D137" s="197"/>
      <c r="E137" s="179"/>
      <c r="F137" s="179"/>
      <c r="G137" s="179"/>
      <c r="H137" s="179"/>
      <c r="I137" s="179"/>
      <c r="J137" s="201"/>
      <c r="K137" s="199"/>
      <c r="L137" s="182"/>
      <c r="M137" s="183"/>
      <c r="N137" s="119"/>
    </row>
    <row r="138">
      <c r="A138" s="119"/>
      <c r="B138" s="202"/>
      <c r="C138" s="196"/>
      <c r="D138" s="197"/>
      <c r="E138" s="179"/>
      <c r="F138" s="179"/>
      <c r="G138" s="179"/>
      <c r="H138" s="179"/>
      <c r="I138" s="179"/>
      <c r="J138" s="201"/>
      <c r="K138" s="199"/>
      <c r="L138" s="182"/>
      <c r="M138" s="183"/>
      <c r="N138" s="119"/>
    </row>
    <row r="139">
      <c r="A139" s="119"/>
      <c r="B139" s="202"/>
      <c r="C139" s="196"/>
      <c r="D139" s="197"/>
      <c r="E139" s="179"/>
      <c r="F139" s="179"/>
      <c r="G139" s="179"/>
      <c r="H139" s="179"/>
      <c r="I139" s="179"/>
      <c r="J139" s="201"/>
      <c r="K139" s="199"/>
      <c r="L139" s="182"/>
      <c r="M139" s="183"/>
      <c r="N139" s="119"/>
    </row>
    <row r="140">
      <c r="A140" s="119"/>
      <c r="B140" s="202"/>
      <c r="C140" s="196"/>
      <c r="D140" s="197"/>
      <c r="E140" s="179"/>
      <c r="F140" s="179"/>
      <c r="G140" s="179"/>
      <c r="H140" s="179"/>
      <c r="I140" s="179"/>
      <c r="J140" s="201"/>
      <c r="K140" s="199"/>
      <c r="L140" s="182"/>
      <c r="M140" s="183"/>
      <c r="N140" s="119"/>
    </row>
    <row r="141">
      <c r="A141" s="119"/>
      <c r="B141" s="202"/>
      <c r="C141" s="196"/>
      <c r="D141" s="197"/>
      <c r="E141" s="179"/>
      <c r="F141" s="179"/>
      <c r="G141" s="179"/>
      <c r="H141" s="179"/>
      <c r="I141" s="179"/>
      <c r="J141" s="201"/>
      <c r="K141" s="199"/>
      <c r="L141" s="182"/>
      <c r="M141" s="183"/>
      <c r="N141" s="119"/>
    </row>
    <row r="142">
      <c r="A142" s="119"/>
      <c r="B142" s="202"/>
      <c r="C142" s="196"/>
      <c r="D142" s="197"/>
      <c r="E142" s="179"/>
      <c r="F142" s="179"/>
      <c r="G142" s="179"/>
      <c r="H142" s="179"/>
      <c r="I142" s="179"/>
      <c r="J142" s="201"/>
      <c r="K142" s="199"/>
      <c r="L142" s="182"/>
      <c r="M142" s="183"/>
      <c r="N142" s="119"/>
    </row>
    <row r="143">
      <c r="A143" s="119"/>
      <c r="B143" s="202"/>
      <c r="C143" s="196"/>
      <c r="D143" s="197"/>
      <c r="E143" s="179"/>
      <c r="F143" s="179"/>
      <c r="G143" s="179"/>
      <c r="H143" s="179"/>
      <c r="I143" s="179"/>
      <c r="J143" s="201"/>
      <c r="K143" s="199"/>
      <c r="L143" s="182"/>
      <c r="M143" s="183"/>
      <c r="N143" s="119"/>
    </row>
    <row r="144">
      <c r="A144" s="119"/>
      <c r="B144" s="202"/>
      <c r="C144" s="196"/>
      <c r="D144" s="197"/>
      <c r="E144" s="179"/>
      <c r="F144" s="179"/>
      <c r="G144" s="179"/>
      <c r="H144" s="179"/>
      <c r="I144" s="179"/>
      <c r="J144" s="201"/>
      <c r="K144" s="199"/>
      <c r="L144" s="182"/>
      <c r="M144" s="183"/>
      <c r="N144" s="119"/>
    </row>
    <row r="145">
      <c r="A145" s="119"/>
      <c r="B145" s="202"/>
      <c r="C145" s="196"/>
      <c r="D145" s="197"/>
      <c r="E145" s="179"/>
      <c r="F145" s="179"/>
      <c r="G145" s="179"/>
      <c r="H145" s="179"/>
      <c r="I145" s="179"/>
      <c r="J145" s="201"/>
      <c r="K145" s="199"/>
      <c r="L145" s="182"/>
      <c r="M145" s="183"/>
      <c r="N145" s="119"/>
    </row>
    <row r="146">
      <c r="A146" s="119"/>
      <c r="B146" s="202"/>
      <c r="C146" s="196"/>
      <c r="D146" s="197"/>
      <c r="E146" s="179"/>
      <c r="F146" s="179"/>
      <c r="G146" s="179"/>
      <c r="H146" s="179"/>
      <c r="I146" s="179"/>
      <c r="J146" s="201"/>
      <c r="K146" s="199"/>
      <c r="L146" s="182"/>
      <c r="M146" s="183"/>
      <c r="N146" s="119"/>
    </row>
    <row r="147">
      <c r="A147" s="119"/>
      <c r="B147" s="202"/>
      <c r="C147" s="196"/>
      <c r="D147" s="197"/>
      <c r="E147" s="179"/>
      <c r="F147" s="179"/>
      <c r="G147" s="179"/>
      <c r="H147" s="179"/>
      <c r="I147" s="179"/>
      <c r="J147" s="201"/>
      <c r="K147" s="199"/>
      <c r="L147" s="182"/>
      <c r="M147" s="183"/>
      <c r="N147" s="119"/>
    </row>
    <row r="148">
      <c r="A148" s="119"/>
      <c r="B148" s="202"/>
      <c r="C148" s="196"/>
      <c r="D148" s="197"/>
      <c r="E148" s="179"/>
      <c r="F148" s="179"/>
      <c r="G148" s="179"/>
      <c r="H148" s="179"/>
      <c r="I148" s="179"/>
      <c r="J148" s="201"/>
      <c r="K148" s="199"/>
      <c r="L148" s="182"/>
      <c r="M148" s="183"/>
      <c r="N148" s="119"/>
    </row>
    <row r="149">
      <c r="A149" s="119"/>
      <c r="B149" s="202"/>
      <c r="C149" s="196"/>
      <c r="D149" s="197"/>
      <c r="E149" s="179"/>
      <c r="F149" s="179"/>
      <c r="G149" s="179"/>
      <c r="H149" s="179"/>
      <c r="I149" s="179"/>
      <c r="J149" s="201"/>
      <c r="K149" s="199"/>
      <c r="L149" s="182"/>
      <c r="M149" s="183"/>
      <c r="N149" s="119"/>
    </row>
    <row r="150">
      <c r="A150" s="119"/>
      <c r="B150" s="202"/>
      <c r="C150" s="196"/>
      <c r="D150" s="197"/>
      <c r="E150" s="179"/>
      <c r="F150" s="179"/>
      <c r="G150" s="179"/>
      <c r="H150" s="179"/>
      <c r="I150" s="179"/>
      <c r="J150" s="201"/>
      <c r="K150" s="199"/>
      <c r="L150" s="182"/>
      <c r="M150" s="183"/>
      <c r="N150" s="119"/>
    </row>
    <row r="151">
      <c r="A151" s="119"/>
      <c r="B151" s="202"/>
      <c r="C151" s="196"/>
      <c r="D151" s="197"/>
      <c r="E151" s="179"/>
      <c r="F151" s="179"/>
      <c r="G151" s="179"/>
      <c r="H151" s="179"/>
      <c r="I151" s="179"/>
      <c r="J151" s="201"/>
      <c r="K151" s="199"/>
      <c r="L151" s="182"/>
      <c r="M151" s="183"/>
      <c r="N151" s="119"/>
    </row>
    <row r="152">
      <c r="A152" s="119"/>
      <c r="B152" s="202"/>
      <c r="C152" s="196"/>
      <c r="D152" s="197"/>
      <c r="E152" s="179"/>
      <c r="F152" s="179"/>
      <c r="G152" s="179"/>
      <c r="H152" s="179"/>
      <c r="I152" s="179"/>
      <c r="J152" s="201"/>
      <c r="K152" s="199"/>
      <c r="L152" s="182"/>
      <c r="M152" s="183"/>
      <c r="N152" s="119"/>
    </row>
    <row r="153">
      <c r="A153" s="119"/>
      <c r="B153" s="202"/>
      <c r="C153" s="196"/>
      <c r="D153" s="197"/>
      <c r="E153" s="179"/>
      <c r="F153" s="179"/>
      <c r="G153" s="179"/>
      <c r="H153" s="179"/>
      <c r="I153" s="179"/>
      <c r="J153" s="201"/>
      <c r="K153" s="199"/>
      <c r="L153" s="182"/>
      <c r="M153" s="183"/>
      <c r="N153" s="119"/>
    </row>
    <row r="154">
      <c r="A154" s="119"/>
      <c r="B154" s="202"/>
      <c r="C154" s="196"/>
      <c r="D154" s="197"/>
      <c r="E154" s="179"/>
      <c r="F154" s="179"/>
      <c r="G154" s="179"/>
      <c r="H154" s="179"/>
      <c r="I154" s="179"/>
      <c r="J154" s="201"/>
      <c r="K154" s="199"/>
      <c r="L154" s="182"/>
      <c r="M154" s="183"/>
      <c r="N154" s="119"/>
    </row>
    <row r="155">
      <c r="A155" s="119"/>
      <c r="B155" s="202"/>
      <c r="C155" s="196"/>
      <c r="D155" s="197"/>
      <c r="E155" s="179"/>
      <c r="F155" s="179"/>
      <c r="G155" s="179"/>
      <c r="H155" s="179"/>
      <c r="I155" s="179"/>
      <c r="J155" s="201"/>
      <c r="K155" s="199"/>
      <c r="L155" s="182"/>
      <c r="M155" s="183"/>
      <c r="N155" s="119"/>
    </row>
    <row r="156">
      <c r="A156" s="119"/>
      <c r="B156" s="202"/>
      <c r="C156" s="196"/>
      <c r="D156" s="197"/>
      <c r="E156" s="179"/>
      <c r="F156" s="179"/>
      <c r="G156" s="179"/>
      <c r="H156" s="179"/>
      <c r="I156" s="179"/>
      <c r="J156" s="201"/>
      <c r="K156" s="199"/>
      <c r="L156" s="182"/>
      <c r="M156" s="183"/>
      <c r="N156" s="119"/>
    </row>
    <row r="157">
      <c r="A157" s="119"/>
      <c r="B157" s="202"/>
      <c r="C157" s="196"/>
      <c r="D157" s="197"/>
      <c r="E157" s="179"/>
      <c r="F157" s="179"/>
      <c r="G157" s="179"/>
      <c r="H157" s="179"/>
      <c r="I157" s="179"/>
      <c r="J157" s="201"/>
      <c r="K157" s="199"/>
      <c r="L157" s="182"/>
      <c r="M157" s="183"/>
      <c r="N157" s="119"/>
    </row>
    <row r="158">
      <c r="A158" s="119"/>
      <c r="B158" s="202"/>
      <c r="C158" s="196"/>
      <c r="D158" s="197"/>
      <c r="E158" s="179"/>
      <c r="F158" s="179"/>
      <c r="G158" s="179"/>
      <c r="H158" s="179"/>
      <c r="I158" s="179"/>
      <c r="J158" s="201"/>
      <c r="K158" s="199"/>
      <c r="L158" s="182"/>
      <c r="M158" s="183"/>
      <c r="N158" s="119"/>
    </row>
    <row r="159">
      <c r="A159" s="119"/>
      <c r="B159" s="202"/>
      <c r="C159" s="196"/>
      <c r="D159" s="197"/>
      <c r="E159" s="179"/>
      <c r="F159" s="179"/>
      <c r="G159" s="179"/>
      <c r="H159" s="179"/>
      <c r="I159" s="179"/>
      <c r="J159" s="201"/>
      <c r="K159" s="199"/>
      <c r="L159" s="182"/>
      <c r="M159" s="183"/>
      <c r="N159" s="119"/>
    </row>
    <row r="160">
      <c r="A160" s="119"/>
      <c r="B160" s="202"/>
      <c r="C160" s="196"/>
      <c r="D160" s="197"/>
      <c r="E160" s="179"/>
      <c r="F160" s="179"/>
      <c r="G160" s="179"/>
      <c r="H160" s="179"/>
      <c r="I160" s="179"/>
      <c r="J160" s="201"/>
      <c r="K160" s="199"/>
      <c r="L160" s="182"/>
      <c r="M160" s="183"/>
      <c r="N160" s="119"/>
    </row>
    <row r="161">
      <c r="A161" s="119"/>
      <c r="B161" s="202"/>
      <c r="C161" s="196"/>
      <c r="D161" s="197"/>
      <c r="E161" s="179"/>
      <c r="F161" s="179"/>
      <c r="G161" s="179"/>
      <c r="H161" s="179"/>
      <c r="I161" s="179"/>
      <c r="J161" s="201"/>
      <c r="K161" s="199"/>
      <c r="L161" s="182"/>
      <c r="M161" s="183"/>
      <c r="N161" s="119"/>
    </row>
    <row r="162">
      <c r="A162" s="119"/>
      <c r="B162" s="202"/>
      <c r="C162" s="196"/>
      <c r="D162" s="197"/>
      <c r="E162" s="179"/>
      <c r="F162" s="179"/>
      <c r="G162" s="179"/>
      <c r="H162" s="179"/>
      <c r="I162" s="179"/>
      <c r="J162" s="201"/>
      <c r="K162" s="199"/>
      <c r="L162" s="182"/>
      <c r="M162" s="183"/>
      <c r="N162" s="119"/>
    </row>
    <row r="163">
      <c r="A163" s="119"/>
      <c r="B163" s="202"/>
      <c r="C163" s="196"/>
      <c r="D163" s="197"/>
      <c r="E163" s="179"/>
      <c r="F163" s="179"/>
      <c r="G163" s="179"/>
      <c r="H163" s="179"/>
      <c r="I163" s="179"/>
      <c r="J163" s="201"/>
      <c r="K163" s="199"/>
      <c r="L163" s="182"/>
      <c r="M163" s="183"/>
      <c r="N163" s="119"/>
    </row>
    <row r="164">
      <c r="A164" s="119"/>
      <c r="B164" s="202"/>
      <c r="C164" s="196"/>
      <c r="D164" s="197"/>
      <c r="E164" s="179"/>
      <c r="F164" s="179"/>
      <c r="G164" s="179"/>
      <c r="H164" s="179"/>
      <c r="I164" s="179"/>
      <c r="J164" s="201"/>
      <c r="K164" s="199"/>
      <c r="L164" s="182"/>
      <c r="M164" s="183"/>
      <c r="N164" s="119"/>
    </row>
    <row r="165">
      <c r="A165" s="119"/>
      <c r="B165" s="202"/>
      <c r="C165" s="196"/>
      <c r="D165" s="197"/>
      <c r="E165" s="179"/>
      <c r="F165" s="179"/>
      <c r="G165" s="179"/>
      <c r="H165" s="179"/>
      <c r="I165" s="179"/>
      <c r="J165" s="201"/>
      <c r="K165" s="199"/>
      <c r="L165" s="182"/>
      <c r="M165" s="183"/>
      <c r="N165" s="119"/>
    </row>
    <row r="166">
      <c r="A166" s="119"/>
      <c r="B166" s="202"/>
      <c r="C166" s="196"/>
      <c r="D166" s="197"/>
      <c r="E166" s="179"/>
      <c r="F166" s="179"/>
      <c r="G166" s="179"/>
      <c r="H166" s="179"/>
      <c r="I166" s="179"/>
      <c r="J166" s="201"/>
      <c r="K166" s="199"/>
      <c r="L166" s="182"/>
      <c r="M166" s="183"/>
      <c r="N166" s="119"/>
    </row>
    <row r="167">
      <c r="A167" s="119"/>
      <c r="B167" s="202"/>
      <c r="C167" s="196"/>
      <c r="D167" s="197"/>
      <c r="E167" s="179"/>
      <c r="F167" s="179"/>
      <c r="G167" s="179"/>
      <c r="H167" s="179"/>
      <c r="I167" s="179"/>
      <c r="J167" s="201"/>
      <c r="K167" s="199"/>
      <c r="L167" s="182"/>
      <c r="M167" s="183"/>
      <c r="N167" s="119"/>
    </row>
    <row r="168">
      <c r="A168" s="119"/>
      <c r="B168" s="202"/>
      <c r="C168" s="196"/>
      <c r="D168" s="197"/>
      <c r="E168" s="179"/>
      <c r="F168" s="179"/>
      <c r="G168" s="179"/>
      <c r="H168" s="179"/>
      <c r="I168" s="179"/>
      <c r="J168" s="201"/>
      <c r="K168" s="199"/>
      <c r="L168" s="182"/>
      <c r="M168" s="183"/>
      <c r="N168" s="119"/>
    </row>
    <row r="169">
      <c r="A169" s="119"/>
      <c r="B169" s="202"/>
      <c r="C169" s="196"/>
      <c r="D169" s="197"/>
      <c r="E169" s="179"/>
      <c r="F169" s="179"/>
      <c r="G169" s="179"/>
      <c r="H169" s="179"/>
      <c r="I169" s="179"/>
      <c r="J169" s="201"/>
      <c r="K169" s="199"/>
      <c r="L169" s="182"/>
      <c r="M169" s="183"/>
      <c r="N169" s="119"/>
    </row>
    <row r="170">
      <c r="A170" s="119"/>
      <c r="B170" s="202"/>
      <c r="C170" s="196"/>
      <c r="D170" s="197"/>
      <c r="E170" s="179"/>
      <c r="F170" s="179"/>
      <c r="G170" s="179"/>
      <c r="H170" s="179"/>
      <c r="I170" s="179"/>
      <c r="J170" s="201"/>
      <c r="K170" s="199"/>
      <c r="L170" s="182"/>
      <c r="M170" s="183"/>
      <c r="N170" s="119"/>
    </row>
    <row r="171">
      <c r="A171" s="119"/>
      <c r="B171" s="202"/>
      <c r="C171" s="196"/>
      <c r="D171" s="197"/>
      <c r="E171" s="179"/>
      <c r="F171" s="179"/>
      <c r="G171" s="179"/>
      <c r="H171" s="179"/>
      <c r="I171" s="179"/>
      <c r="J171" s="201"/>
      <c r="K171" s="199"/>
      <c r="L171" s="182"/>
      <c r="M171" s="183"/>
      <c r="N171" s="119"/>
    </row>
    <row r="172">
      <c r="A172" s="119"/>
      <c r="B172" s="202"/>
      <c r="C172" s="196"/>
      <c r="D172" s="197"/>
      <c r="E172" s="179"/>
      <c r="F172" s="179"/>
      <c r="G172" s="179"/>
      <c r="H172" s="179"/>
      <c r="I172" s="179"/>
      <c r="J172" s="201"/>
      <c r="K172" s="199"/>
      <c r="L172" s="182"/>
      <c r="M172" s="183"/>
      <c r="N172" s="119"/>
    </row>
    <row r="173">
      <c r="A173" s="119"/>
      <c r="B173" s="202"/>
      <c r="C173" s="196"/>
      <c r="D173" s="197"/>
      <c r="E173" s="179"/>
      <c r="F173" s="179"/>
      <c r="G173" s="179"/>
      <c r="H173" s="179"/>
      <c r="I173" s="179"/>
      <c r="J173" s="201"/>
      <c r="K173" s="199"/>
      <c r="L173" s="182"/>
      <c r="M173" s="183"/>
      <c r="N173" s="119"/>
    </row>
    <row r="174">
      <c r="A174" s="119"/>
      <c r="B174" s="202"/>
      <c r="C174" s="196"/>
      <c r="D174" s="197"/>
      <c r="E174" s="179"/>
      <c r="F174" s="179"/>
      <c r="G174" s="179"/>
      <c r="H174" s="179"/>
      <c r="I174" s="179"/>
      <c r="J174" s="201"/>
      <c r="K174" s="199"/>
      <c r="L174" s="182"/>
      <c r="M174" s="183"/>
      <c r="N174" s="119"/>
    </row>
    <row r="175">
      <c r="A175" s="119"/>
      <c r="B175" s="202"/>
      <c r="C175" s="196"/>
      <c r="D175" s="197"/>
      <c r="E175" s="179"/>
      <c r="F175" s="179"/>
      <c r="G175" s="179"/>
      <c r="H175" s="179"/>
      <c r="I175" s="179"/>
      <c r="J175" s="201"/>
      <c r="K175" s="199"/>
      <c r="L175" s="182"/>
      <c r="M175" s="183"/>
      <c r="N175" s="119"/>
    </row>
    <row r="176">
      <c r="A176" s="119"/>
      <c r="B176" s="202"/>
      <c r="C176" s="196"/>
      <c r="D176" s="197"/>
      <c r="E176" s="179"/>
      <c r="F176" s="179"/>
      <c r="G176" s="179"/>
      <c r="H176" s="179"/>
      <c r="I176" s="179"/>
      <c r="J176" s="201"/>
      <c r="K176" s="199"/>
      <c r="L176" s="182"/>
      <c r="M176" s="183"/>
      <c r="N176" s="119"/>
    </row>
    <row r="177">
      <c r="A177" s="119"/>
      <c r="B177" s="202"/>
      <c r="C177" s="196"/>
      <c r="D177" s="197"/>
      <c r="E177" s="179"/>
      <c r="F177" s="179"/>
      <c r="G177" s="179"/>
      <c r="H177" s="179"/>
      <c r="I177" s="179"/>
      <c r="J177" s="201"/>
      <c r="K177" s="199"/>
      <c r="L177" s="182"/>
      <c r="M177" s="183"/>
      <c r="N177" s="119"/>
    </row>
    <row r="178">
      <c r="A178" s="119"/>
      <c r="B178" s="202"/>
      <c r="C178" s="196"/>
      <c r="D178" s="197"/>
      <c r="E178" s="179"/>
      <c r="F178" s="179"/>
      <c r="G178" s="179"/>
      <c r="H178" s="179"/>
      <c r="I178" s="179"/>
      <c r="J178" s="201"/>
      <c r="K178" s="199"/>
      <c r="L178" s="182"/>
      <c r="M178" s="183"/>
      <c r="N178" s="119"/>
    </row>
    <row r="179">
      <c r="A179" s="119"/>
      <c r="B179" s="202"/>
      <c r="C179" s="196"/>
      <c r="D179" s="197"/>
      <c r="E179" s="179"/>
      <c r="F179" s="179"/>
      <c r="G179" s="179"/>
      <c r="H179" s="179"/>
      <c r="I179" s="179"/>
      <c r="J179" s="201"/>
      <c r="K179" s="199"/>
      <c r="L179" s="182"/>
      <c r="M179" s="183"/>
      <c r="N179" s="119"/>
    </row>
    <row r="180">
      <c r="A180" s="119"/>
      <c r="B180" s="202"/>
      <c r="C180" s="196"/>
      <c r="D180" s="197"/>
      <c r="E180" s="179"/>
      <c r="F180" s="179"/>
      <c r="G180" s="179"/>
      <c r="H180" s="179"/>
      <c r="I180" s="179"/>
      <c r="J180" s="201"/>
      <c r="K180" s="199"/>
      <c r="L180" s="182"/>
      <c r="M180" s="183"/>
      <c r="N180" s="119"/>
    </row>
    <row r="181">
      <c r="A181" s="119"/>
      <c r="B181" s="202"/>
      <c r="C181" s="196"/>
      <c r="D181" s="197"/>
      <c r="E181" s="179"/>
      <c r="F181" s="179"/>
      <c r="G181" s="179"/>
      <c r="H181" s="179"/>
      <c r="I181" s="179"/>
      <c r="J181" s="201"/>
      <c r="K181" s="199"/>
      <c r="L181" s="182"/>
      <c r="M181" s="183"/>
      <c r="N181" s="119"/>
    </row>
    <row r="182">
      <c r="A182" s="119"/>
      <c r="B182" s="202"/>
      <c r="C182" s="196"/>
      <c r="D182" s="197"/>
      <c r="E182" s="179"/>
      <c r="F182" s="179"/>
      <c r="G182" s="179"/>
      <c r="H182" s="179"/>
      <c r="I182" s="179"/>
      <c r="J182" s="201"/>
      <c r="K182" s="199"/>
      <c r="L182" s="182"/>
      <c r="M182" s="183"/>
      <c r="N182" s="119"/>
    </row>
    <row r="183">
      <c r="A183" s="119"/>
      <c r="B183" s="202"/>
      <c r="C183" s="196"/>
      <c r="D183" s="197"/>
      <c r="E183" s="179"/>
      <c r="F183" s="179"/>
      <c r="G183" s="179"/>
      <c r="H183" s="179"/>
      <c r="I183" s="179"/>
      <c r="J183" s="201"/>
      <c r="K183" s="199"/>
      <c r="L183" s="182"/>
      <c r="M183" s="183"/>
      <c r="N183" s="119"/>
    </row>
    <row r="184">
      <c r="A184" s="119"/>
      <c r="B184" s="202"/>
      <c r="C184" s="196"/>
      <c r="D184" s="197"/>
      <c r="E184" s="179"/>
      <c r="F184" s="179"/>
      <c r="G184" s="179"/>
      <c r="H184" s="179"/>
      <c r="I184" s="179"/>
      <c r="J184" s="201"/>
      <c r="K184" s="199"/>
      <c r="L184" s="182"/>
      <c r="M184" s="183"/>
      <c r="N184" s="119"/>
    </row>
    <row r="185">
      <c r="A185" s="119"/>
      <c r="B185" s="202"/>
      <c r="C185" s="196"/>
      <c r="D185" s="197"/>
      <c r="E185" s="179"/>
      <c r="F185" s="179"/>
      <c r="G185" s="179"/>
      <c r="H185" s="179"/>
      <c r="I185" s="179"/>
      <c r="J185" s="201"/>
      <c r="K185" s="199"/>
      <c r="L185" s="182"/>
      <c r="M185" s="183"/>
      <c r="N185" s="119"/>
    </row>
    <row r="186">
      <c r="A186" s="119"/>
      <c r="B186" s="202"/>
      <c r="C186" s="196"/>
      <c r="D186" s="197"/>
      <c r="E186" s="179"/>
      <c r="F186" s="179"/>
      <c r="G186" s="179"/>
      <c r="H186" s="179"/>
      <c r="I186" s="179"/>
      <c r="J186" s="201"/>
      <c r="K186" s="199"/>
      <c r="L186" s="182"/>
      <c r="M186" s="183"/>
      <c r="N186" s="119"/>
    </row>
    <row r="187">
      <c r="A187" s="119"/>
      <c r="B187" s="202"/>
      <c r="C187" s="196"/>
      <c r="D187" s="197"/>
      <c r="E187" s="179"/>
      <c r="F187" s="179"/>
      <c r="G187" s="179"/>
      <c r="H187" s="179"/>
      <c r="I187" s="179"/>
      <c r="J187" s="201"/>
      <c r="K187" s="199"/>
      <c r="L187" s="182"/>
      <c r="M187" s="183"/>
      <c r="N187" s="119"/>
    </row>
    <row r="188">
      <c r="A188" s="119"/>
      <c r="B188" s="202"/>
      <c r="C188" s="196"/>
      <c r="D188" s="197"/>
      <c r="E188" s="179"/>
      <c r="F188" s="179"/>
      <c r="G188" s="179"/>
      <c r="H188" s="179"/>
      <c r="I188" s="179"/>
      <c r="J188" s="201"/>
      <c r="K188" s="199"/>
      <c r="L188" s="182"/>
      <c r="M188" s="183"/>
      <c r="N188" s="119"/>
    </row>
    <row r="189">
      <c r="A189" s="119"/>
      <c r="B189" s="202"/>
      <c r="C189" s="196"/>
      <c r="D189" s="197"/>
      <c r="E189" s="179"/>
      <c r="F189" s="179"/>
      <c r="G189" s="179"/>
      <c r="H189" s="179"/>
      <c r="I189" s="179"/>
      <c r="J189" s="201"/>
      <c r="K189" s="199"/>
      <c r="L189" s="182"/>
      <c r="M189" s="183"/>
      <c r="N189" s="119"/>
    </row>
    <row r="190">
      <c r="A190" s="119"/>
      <c r="B190" s="202"/>
      <c r="C190" s="196"/>
      <c r="D190" s="197"/>
      <c r="E190" s="179"/>
      <c r="F190" s="179"/>
      <c r="G190" s="179"/>
      <c r="H190" s="179"/>
      <c r="I190" s="179"/>
      <c r="J190" s="201"/>
      <c r="K190" s="199"/>
      <c r="L190" s="182"/>
      <c r="M190" s="183"/>
      <c r="N190" s="119"/>
    </row>
    <row r="191">
      <c r="A191" s="119"/>
      <c r="B191" s="202"/>
      <c r="C191" s="196"/>
      <c r="D191" s="197"/>
      <c r="E191" s="179"/>
      <c r="F191" s="179"/>
      <c r="G191" s="179"/>
      <c r="H191" s="179"/>
      <c r="I191" s="179"/>
      <c r="J191" s="201"/>
      <c r="K191" s="199"/>
      <c r="L191" s="182"/>
      <c r="M191" s="183"/>
      <c r="N191" s="119"/>
    </row>
    <row r="192">
      <c r="A192" s="119"/>
      <c r="B192" s="202"/>
      <c r="C192" s="196"/>
      <c r="D192" s="197"/>
      <c r="E192" s="179"/>
      <c r="F192" s="179"/>
      <c r="G192" s="179"/>
      <c r="H192" s="179"/>
      <c r="I192" s="179"/>
      <c r="J192" s="201"/>
      <c r="K192" s="199"/>
      <c r="L192" s="182"/>
      <c r="M192" s="183"/>
      <c r="N192" s="119"/>
    </row>
    <row r="193">
      <c r="A193" s="119"/>
      <c r="B193" s="202"/>
      <c r="C193" s="196"/>
      <c r="D193" s="197"/>
      <c r="E193" s="179"/>
      <c r="F193" s="179"/>
      <c r="G193" s="179"/>
      <c r="H193" s="179"/>
      <c r="I193" s="179"/>
      <c r="J193" s="201"/>
      <c r="K193" s="199"/>
      <c r="L193" s="182"/>
      <c r="M193" s="183"/>
      <c r="N193" s="119"/>
    </row>
    <row r="194">
      <c r="A194" s="119"/>
      <c r="B194" s="202"/>
      <c r="C194" s="196"/>
      <c r="D194" s="197"/>
      <c r="E194" s="179"/>
      <c r="F194" s="179"/>
      <c r="G194" s="179"/>
      <c r="H194" s="179"/>
      <c r="I194" s="179"/>
      <c r="J194" s="201"/>
      <c r="K194" s="199"/>
      <c r="L194" s="182"/>
      <c r="M194" s="183"/>
      <c r="N194" s="119"/>
    </row>
    <row r="195">
      <c r="A195" s="119"/>
      <c r="B195" s="202"/>
      <c r="C195" s="196"/>
      <c r="D195" s="197"/>
      <c r="E195" s="179"/>
      <c r="F195" s="179"/>
      <c r="G195" s="179"/>
      <c r="H195" s="179"/>
      <c r="I195" s="179"/>
      <c r="J195" s="201"/>
      <c r="K195" s="199"/>
      <c r="L195" s="182"/>
      <c r="M195" s="183"/>
      <c r="N195" s="119"/>
    </row>
    <row r="196">
      <c r="A196" s="119"/>
      <c r="B196" s="202"/>
      <c r="C196" s="196"/>
      <c r="D196" s="197"/>
      <c r="E196" s="179"/>
      <c r="F196" s="179"/>
      <c r="G196" s="179"/>
      <c r="H196" s="179"/>
      <c r="I196" s="179"/>
      <c r="J196" s="201"/>
      <c r="K196" s="199"/>
      <c r="L196" s="182"/>
      <c r="M196" s="183"/>
      <c r="N196" s="119"/>
    </row>
    <row r="197">
      <c r="A197" s="119"/>
      <c r="B197" s="202"/>
      <c r="C197" s="196"/>
      <c r="D197" s="197"/>
      <c r="E197" s="179"/>
      <c r="F197" s="179"/>
      <c r="G197" s="179"/>
      <c r="H197" s="179"/>
      <c r="I197" s="179"/>
      <c r="J197" s="201"/>
      <c r="K197" s="199"/>
      <c r="L197" s="182"/>
      <c r="M197" s="183"/>
      <c r="N197" s="119"/>
    </row>
    <row r="198">
      <c r="A198" s="119"/>
      <c r="B198" s="202"/>
      <c r="C198" s="196"/>
      <c r="D198" s="197"/>
      <c r="E198" s="179"/>
      <c r="F198" s="179"/>
      <c r="G198" s="179"/>
      <c r="H198" s="179"/>
      <c r="I198" s="179"/>
      <c r="J198" s="201"/>
      <c r="K198" s="199"/>
      <c r="L198" s="182"/>
      <c r="M198" s="183"/>
      <c r="N198" s="119"/>
    </row>
    <row r="199">
      <c r="A199" s="119"/>
      <c r="B199" s="202"/>
      <c r="C199" s="196"/>
      <c r="D199" s="197"/>
      <c r="E199" s="179"/>
      <c r="F199" s="179"/>
      <c r="G199" s="179"/>
      <c r="H199" s="179"/>
      <c r="I199" s="179"/>
      <c r="J199" s="201"/>
      <c r="K199" s="199"/>
      <c r="L199" s="182"/>
      <c r="M199" s="183"/>
      <c r="N199" s="119"/>
    </row>
    <row r="200">
      <c r="A200" s="119"/>
      <c r="B200" s="202"/>
      <c r="C200" s="196"/>
      <c r="D200" s="197"/>
      <c r="E200" s="179"/>
      <c r="F200" s="179"/>
      <c r="G200" s="179"/>
      <c r="H200" s="179"/>
      <c r="I200" s="179"/>
      <c r="J200" s="201"/>
      <c r="K200" s="199"/>
      <c r="L200" s="182"/>
      <c r="M200" s="183"/>
      <c r="N200" s="119"/>
    </row>
    <row r="201">
      <c r="A201" s="119"/>
      <c r="B201" s="202"/>
      <c r="C201" s="196"/>
      <c r="D201" s="197"/>
      <c r="E201" s="179"/>
      <c r="F201" s="179"/>
      <c r="G201" s="179"/>
      <c r="H201" s="179"/>
      <c r="I201" s="179"/>
      <c r="J201" s="201"/>
      <c r="K201" s="199"/>
      <c r="L201" s="182"/>
      <c r="M201" s="183"/>
      <c r="N201" s="119"/>
    </row>
    <row r="202">
      <c r="A202" s="119"/>
      <c r="B202" s="202"/>
      <c r="C202" s="196"/>
      <c r="D202" s="197"/>
      <c r="E202" s="179"/>
      <c r="F202" s="179"/>
      <c r="G202" s="179"/>
      <c r="H202" s="179"/>
      <c r="I202" s="179"/>
      <c r="J202" s="201"/>
      <c r="K202" s="199"/>
      <c r="L202" s="182"/>
      <c r="M202" s="183"/>
      <c r="N202" s="119"/>
    </row>
    <row r="203">
      <c r="A203" s="119"/>
      <c r="B203" s="202"/>
      <c r="C203" s="196"/>
      <c r="D203" s="197"/>
      <c r="E203" s="179"/>
      <c r="F203" s="179"/>
      <c r="G203" s="179"/>
      <c r="H203" s="179"/>
      <c r="I203" s="179"/>
      <c r="J203" s="201"/>
      <c r="K203" s="199"/>
      <c r="L203" s="182"/>
      <c r="M203" s="183"/>
      <c r="N203" s="119"/>
    </row>
    <row r="204">
      <c r="A204" s="119"/>
      <c r="B204" s="202"/>
      <c r="C204" s="196"/>
      <c r="D204" s="197"/>
      <c r="E204" s="179"/>
      <c r="F204" s="179"/>
      <c r="G204" s="179"/>
      <c r="H204" s="179"/>
      <c r="I204" s="179"/>
      <c r="J204" s="201"/>
      <c r="K204" s="199"/>
      <c r="L204" s="182"/>
      <c r="M204" s="183"/>
      <c r="N204" s="119"/>
    </row>
    <row r="205">
      <c r="A205" s="119"/>
      <c r="B205" s="202"/>
      <c r="C205" s="196"/>
      <c r="D205" s="197"/>
      <c r="E205" s="179"/>
      <c r="F205" s="179"/>
      <c r="G205" s="179"/>
      <c r="H205" s="179"/>
      <c r="I205" s="179"/>
      <c r="J205" s="201"/>
      <c r="K205" s="199"/>
      <c r="L205" s="182"/>
      <c r="M205" s="183"/>
      <c r="N205" s="119"/>
    </row>
    <row r="206">
      <c r="A206" s="119"/>
      <c r="B206" s="202"/>
      <c r="C206" s="196"/>
      <c r="D206" s="197"/>
      <c r="E206" s="179"/>
      <c r="F206" s="179"/>
      <c r="G206" s="179"/>
      <c r="H206" s="179"/>
      <c r="I206" s="179"/>
      <c r="J206" s="201"/>
      <c r="K206" s="199"/>
      <c r="L206" s="182"/>
      <c r="M206" s="183"/>
      <c r="N206" s="119"/>
    </row>
    <row r="207">
      <c r="A207" s="119"/>
      <c r="B207" s="202"/>
      <c r="C207" s="196"/>
      <c r="D207" s="197"/>
      <c r="E207" s="179"/>
      <c r="F207" s="179"/>
      <c r="G207" s="179"/>
      <c r="H207" s="179"/>
      <c r="I207" s="179"/>
      <c r="J207" s="201"/>
      <c r="K207" s="199"/>
      <c r="L207" s="182"/>
      <c r="M207" s="183"/>
      <c r="N207" s="119"/>
    </row>
    <row r="208">
      <c r="A208" s="119"/>
      <c r="B208" s="202"/>
      <c r="C208" s="196"/>
      <c r="D208" s="197"/>
      <c r="E208" s="179"/>
      <c r="F208" s="179"/>
      <c r="G208" s="179"/>
      <c r="H208" s="179"/>
      <c r="I208" s="179"/>
      <c r="J208" s="201"/>
      <c r="K208" s="199"/>
      <c r="L208" s="182"/>
      <c r="M208" s="183"/>
      <c r="N208" s="119"/>
    </row>
    <row r="209">
      <c r="A209" s="119"/>
      <c r="B209" s="202"/>
      <c r="C209" s="196"/>
      <c r="D209" s="197"/>
      <c r="E209" s="179"/>
      <c r="F209" s="179"/>
      <c r="G209" s="179"/>
      <c r="H209" s="179"/>
      <c r="I209" s="179"/>
      <c r="J209" s="201"/>
      <c r="K209" s="199"/>
      <c r="L209" s="182"/>
      <c r="M209" s="183"/>
      <c r="N209" s="119"/>
    </row>
    <row r="210">
      <c r="A210" s="119"/>
      <c r="B210" s="202"/>
      <c r="C210" s="196"/>
      <c r="D210" s="197"/>
      <c r="E210" s="179"/>
      <c r="F210" s="179"/>
      <c r="G210" s="179"/>
      <c r="H210" s="179"/>
      <c r="I210" s="179"/>
      <c r="J210" s="201"/>
      <c r="K210" s="199"/>
      <c r="L210" s="182"/>
      <c r="M210" s="183"/>
      <c r="N210" s="119"/>
    </row>
    <row r="211">
      <c r="A211" s="119"/>
      <c r="B211" s="202"/>
      <c r="C211" s="196"/>
      <c r="D211" s="197"/>
      <c r="E211" s="179"/>
      <c r="F211" s="179"/>
      <c r="G211" s="179"/>
      <c r="H211" s="179"/>
      <c r="I211" s="179"/>
      <c r="J211" s="201"/>
      <c r="K211" s="199"/>
      <c r="L211" s="182"/>
      <c r="M211" s="183"/>
      <c r="N211" s="119"/>
    </row>
    <row r="212">
      <c r="A212" s="119"/>
      <c r="B212" s="202"/>
      <c r="C212" s="196"/>
      <c r="D212" s="197"/>
      <c r="E212" s="179"/>
      <c r="F212" s="179"/>
      <c r="G212" s="179"/>
      <c r="H212" s="179"/>
      <c r="I212" s="179"/>
      <c r="J212" s="201"/>
      <c r="K212" s="199"/>
      <c r="L212" s="182"/>
      <c r="M212" s="183"/>
      <c r="N212" s="119"/>
    </row>
    <row r="213">
      <c r="A213" s="119"/>
      <c r="B213" s="202"/>
      <c r="C213" s="196"/>
      <c r="D213" s="197"/>
      <c r="E213" s="179"/>
      <c r="F213" s="179"/>
      <c r="G213" s="179"/>
      <c r="H213" s="179"/>
      <c r="I213" s="179"/>
      <c r="J213" s="201"/>
      <c r="K213" s="199"/>
      <c r="L213" s="182"/>
      <c r="M213" s="183"/>
      <c r="N213" s="119"/>
    </row>
    <row r="214" ht="15.75" customHeight="1">
      <c r="A214" s="119"/>
      <c r="B214" s="119"/>
      <c r="C214" s="119"/>
      <c r="D214" s="119"/>
      <c r="E214" s="119"/>
      <c r="F214" s="119"/>
      <c r="G214" s="119"/>
      <c r="H214" s="119"/>
      <c r="I214" s="119"/>
      <c r="J214" s="119"/>
      <c r="K214" s="119"/>
      <c r="L214" s="119"/>
      <c r="M214" s="119"/>
      <c r="N214" s="119"/>
    </row>
  </sheetData>
  <mergeCells count="19">
    <mergeCell ref="B3:F3"/>
    <mergeCell ref="B4:F4"/>
    <mergeCell ref="B5:F5"/>
    <mergeCell ref="B6:F6"/>
    <mergeCell ref="E8:F8"/>
    <mergeCell ref="B1:M1"/>
    <mergeCell ref="B24:C24"/>
    <mergeCell ref="J24:L24"/>
    <mergeCell ref="B18:H18"/>
    <mergeCell ref="B19:H19"/>
    <mergeCell ref="B20:H20"/>
    <mergeCell ref="F24:H24"/>
    <mergeCell ref="B9:C9"/>
    <mergeCell ref="B10:C10"/>
    <mergeCell ref="B12:H12"/>
    <mergeCell ref="B13:H13"/>
    <mergeCell ref="B15:H15"/>
    <mergeCell ref="B16:H16"/>
    <mergeCell ref="B17:H17"/>
  </mergeCells>
  <conditionalFormatting sqref="J25:J27">
    <cfRule type="containsText" dxfId="0" priority="1" operator="containsText" text="Medium">
      <formula>NOT(ISERROR(SEARCH(("Medium"),(J25))))</formula>
    </cfRule>
  </conditionalFormatting>
  <conditionalFormatting sqref="J25:J27">
    <cfRule type="containsText" dxfId="1" priority="2" operator="containsText" text="High">
      <formula>NOT(ISERROR(SEARCH(("High"),(J25))))</formula>
    </cfRule>
  </conditionalFormatting>
  <conditionalFormatting sqref="B26:B28">
    <cfRule type="containsText" dxfId="2" priority="3" operator="containsText" text="Approved">
      <formula>NOT(ISERROR(SEARCH(("Approved"),(B26))))</formula>
    </cfRule>
  </conditionalFormatting>
  <conditionalFormatting sqref="B26:B28">
    <cfRule type="containsText" dxfId="3" priority="4" operator="containsText" text="Needs Review">
      <formula>NOT(ISERROR(SEARCH(("Needs Review"),(B26))))</formula>
    </cfRule>
  </conditionalFormatting>
  <conditionalFormatting sqref="B26:B28">
    <cfRule type="containsText" dxfId="4" priority="5" operator="containsText" text="Not Started">
      <formula>NOT(ISERROR(SEARCH(("Not Started"),(B26))))</formula>
    </cfRule>
  </conditionalFormatting>
  <conditionalFormatting sqref="B26:B28">
    <cfRule type="containsText" dxfId="5" priority="6" operator="containsText" text="On Hold">
      <formula>NOT(ISERROR(SEARCH(("On Hold"),(B26))))</formula>
    </cfRule>
  </conditionalFormatting>
  <conditionalFormatting sqref="B26:B28">
    <cfRule type="containsText" dxfId="6" priority="7" operator="containsText" text="Open">
      <formula>NOT(ISERROR(SEARCH(("Open"),(B26))))</formula>
    </cfRule>
  </conditionalFormatting>
  <conditionalFormatting sqref="B26:B28">
    <cfRule type="containsText" dxfId="7" priority="8" operator="containsText" text="Closed">
      <formula>NOT(ISERROR(SEARCH(("Closed"),(B26))))</formula>
    </cfRule>
  </conditionalFormatting>
  <conditionalFormatting sqref="B26:B28">
    <cfRule type="containsText" dxfId="8" priority="9" operator="containsText" text="In Progress">
      <formula>NOT(ISERROR(SEARCH(("In Progress"),(B26))))</formula>
    </cfRule>
  </conditionalFormatting>
  <conditionalFormatting sqref="B29:B31">
    <cfRule type="containsText" dxfId="9" priority="10" operator="containsText" text="Minor">
      <formula>NOT(ISERROR(SEARCH(("Minor"),(B29))))</formula>
    </cfRule>
  </conditionalFormatting>
  <conditionalFormatting sqref="B29:B31">
    <cfRule type="containsText" dxfId="21" priority="11" operator="containsText" text="Major">
      <formula>NOT(ISERROR(SEARCH(("Major"),(B29))))</formula>
    </cfRule>
  </conditionalFormatting>
  <conditionalFormatting sqref="B29:B31">
    <cfRule type="containsText" dxfId="11" priority="12" operator="containsText" text="Critical">
      <formula>NOT(ISERROR(SEARCH(("Critical"),(B29))))</formula>
    </cfRule>
  </conditionalFormatting>
  <conditionalFormatting sqref="B35:H59">
    <cfRule type="expression" dxfId="12" priority="13">
      <formula>$J35="FAILED"</formula>
    </cfRule>
  </conditionalFormatting>
  <conditionalFormatting sqref="B64:I213">
    <cfRule type="expression" dxfId="12" priority="14">
      <formula>$J64="FAILED"</formula>
    </cfRule>
  </conditionalFormatting>
  <conditionalFormatting sqref="F26:F29">
    <cfRule type="containsText" dxfId="13" priority="15" operator="containsText" text="Not Executed">
      <formula>NOT(ISERROR(SEARCH(("Not Executed"),(F26))))</formula>
    </cfRule>
  </conditionalFormatting>
  <conditionalFormatting sqref="F26:F29">
    <cfRule type="containsText" dxfId="14" priority="16" operator="containsText" text="BLOCKED">
      <formula>NOT(ISERROR(SEARCH(("BLOCKED"),(F26))))</formula>
    </cfRule>
  </conditionalFormatting>
  <conditionalFormatting sqref="F26:F29">
    <cfRule type="containsText" dxfId="15" priority="17" operator="containsText" text="PASS">
      <formula>NOT(ISERROR(SEARCH(("PASS"),(F26))))</formula>
    </cfRule>
  </conditionalFormatting>
  <conditionalFormatting sqref="F26:F29">
    <cfRule type="containsText" dxfId="16" priority="18" operator="containsText" text="FAIL">
      <formula>NOT(ISERROR(SEARCH(("FAIL"),(F26))))</formula>
    </cfRule>
  </conditionalFormatting>
  <conditionalFormatting sqref="H35:H59">
    <cfRule type="containsText" dxfId="2" priority="19" operator="containsText" text="Approved">
      <formula>NOT(ISERROR(SEARCH(("Approved"),(H35))))</formula>
    </cfRule>
  </conditionalFormatting>
  <conditionalFormatting sqref="H35:H59">
    <cfRule type="containsText" dxfId="3" priority="20" operator="containsText" text="Needs Review">
      <formula>NOT(ISERROR(SEARCH(("Needs Review"),(H35))))</formula>
    </cfRule>
  </conditionalFormatting>
  <conditionalFormatting sqref="H35:H59">
    <cfRule type="containsText" dxfId="4" priority="21" operator="containsText" text="Not Started">
      <formula>NOT(ISERROR(SEARCH(("Not Started"),(H35))))</formula>
    </cfRule>
  </conditionalFormatting>
  <conditionalFormatting sqref="H35:H59">
    <cfRule type="containsText" dxfId="5" priority="22" operator="containsText" text="On Hold">
      <formula>NOT(ISERROR(SEARCH(("On Hold"),(H35))))</formula>
    </cfRule>
  </conditionalFormatting>
  <conditionalFormatting sqref="H35:H59">
    <cfRule type="containsText" dxfId="6" priority="23" operator="containsText" text="Open">
      <formula>NOT(ISERROR(SEARCH(("Open"),(H35))))</formula>
    </cfRule>
  </conditionalFormatting>
  <conditionalFormatting sqref="H35:H59">
    <cfRule type="containsText" dxfId="7" priority="24" operator="containsText" text="Closed">
      <formula>NOT(ISERROR(SEARCH(("Closed"),(H35))))</formula>
    </cfRule>
  </conditionalFormatting>
  <conditionalFormatting sqref="H35:H59">
    <cfRule type="containsText" dxfId="8" priority="25" operator="containsText" text="In Progress">
      <formula>NOT(ISERROR(SEARCH(("In Progress"),(H35))))</formula>
    </cfRule>
  </conditionalFormatting>
  <conditionalFormatting sqref="I35:I59">
    <cfRule type="containsText" dxfId="9" priority="26" operator="containsText" text="Minor">
      <formula>NOT(ISERROR(SEARCH(("Minor"),(I35))))</formula>
    </cfRule>
  </conditionalFormatting>
  <conditionalFormatting sqref="I35:I59">
    <cfRule type="containsText" dxfId="21" priority="27" operator="containsText" text="Major">
      <formula>NOT(ISERROR(SEARCH(("Major"),(I35))))</formula>
    </cfRule>
  </conditionalFormatting>
  <conditionalFormatting sqref="I35:I59">
    <cfRule type="containsText" dxfId="11" priority="28" operator="containsText" text="Critical">
      <formula>NOT(ISERROR(SEARCH(("Critical"),(I35))))</formula>
    </cfRule>
  </conditionalFormatting>
  <conditionalFormatting sqref="J25:J27 K64:K213">
    <cfRule type="containsText" dxfId="18" priority="29" operator="containsText" text="Low">
      <formula>NOT(ISERROR(SEARCH(("Low"),(J25))))</formula>
    </cfRule>
  </conditionalFormatting>
  <conditionalFormatting sqref="K64:K213">
    <cfRule type="containsText" dxfId="19" priority="30" operator="containsText" text="Medium">
      <formula>NOT(ISERROR(SEARCH(("Medium"),(K64))))</formula>
    </cfRule>
  </conditionalFormatting>
  <conditionalFormatting sqref="K64:K213">
    <cfRule type="containsText" dxfId="20" priority="31" operator="containsText" text="High">
      <formula>NOT(ISERROR(SEARCH(("High"),(K64))))</formula>
    </cfRule>
  </conditionalFormatting>
  <dataValidations>
    <dataValidation type="list" allowBlank="1" showErrorMessage="1" sqref="H35:H59">
      <formula1>'Dropdown Keys'!$H$3:$H$5</formula1>
    </dataValidation>
    <dataValidation type="list" allowBlank="1" showErrorMessage="1" sqref="J64:J213">
      <formula1>'Dropdown Keys'!$B$3:$B$6</formula1>
    </dataValidation>
    <dataValidation type="list" allowBlank="1" showErrorMessage="1" sqref="D64:D213">
      <formula1>"Unit,Security,Performance,Integrity"</formula1>
    </dataValidation>
    <dataValidation type="list" allowBlank="1" showErrorMessage="1" sqref="I35:I59">
      <formula1>Status</formula1>
    </dataValidation>
    <dataValidation type="list" allowBlank="1" showErrorMessage="1" sqref="K64:K213">
      <formula1>'Dropdown Keys'!$N$3:$N$5</formula1>
    </dataValidation>
  </dataValidations>
  <printOptions/>
  <pageMargins bottom="0.4" footer="0.0" header="0.0" left="0.4" right="0.4" top="0.4"/>
  <pageSetup fitToHeight="0"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CB13"/>
    <pageSetUpPr fitToPage="1"/>
  </sheetPr>
  <sheetViews>
    <sheetView showGridLines="0" workbookViewId="0"/>
  </sheetViews>
  <sheetFormatPr customHeight="1" defaultColWidth="11.22" defaultRowHeight="15.0"/>
  <cols>
    <col customWidth="1" min="1" max="1" width="3.33"/>
    <col customWidth="1" min="2" max="2" width="11.0"/>
    <col customWidth="1" min="3" max="3" width="11.78"/>
    <col customWidth="1" min="4" max="4" width="12.89"/>
    <col customWidth="1" min="5" max="9" width="20.78"/>
    <col customWidth="1" min="10" max="12" width="16.78"/>
    <col customWidth="1" min="13" max="13" width="22.78"/>
    <col customWidth="1" min="14" max="14" width="3.33"/>
  </cols>
  <sheetData>
    <row r="1" ht="66.0" customHeight="1">
      <c r="A1" s="118"/>
      <c r="B1" s="104" t="s">
        <v>769</v>
      </c>
      <c r="C1" s="105"/>
      <c r="D1" s="105"/>
      <c r="E1" s="105"/>
      <c r="F1" s="105"/>
      <c r="G1" s="105"/>
      <c r="H1" s="105"/>
      <c r="I1" s="105"/>
      <c r="J1" s="105"/>
      <c r="K1" s="105"/>
      <c r="L1" s="105"/>
      <c r="M1" s="106"/>
      <c r="N1" s="118"/>
    </row>
    <row r="2" ht="45.75" customHeight="1">
      <c r="A2" s="119"/>
      <c r="B2" s="120"/>
      <c r="C2" s="120"/>
      <c r="D2" s="120"/>
      <c r="E2" s="120"/>
      <c r="F2" s="120"/>
      <c r="G2" s="120"/>
      <c r="H2" s="121"/>
      <c r="I2" s="121"/>
      <c r="J2" s="119"/>
      <c r="K2" s="119"/>
      <c r="L2" s="119"/>
      <c r="M2" s="119"/>
      <c r="N2" s="119"/>
    </row>
    <row r="3" ht="19.5" customHeight="1">
      <c r="A3" s="122"/>
      <c r="B3" s="123" t="s">
        <v>662</v>
      </c>
      <c r="C3" s="124"/>
      <c r="D3" s="124"/>
      <c r="E3" s="124"/>
      <c r="F3" s="125"/>
      <c r="G3" s="209" t="s">
        <v>649</v>
      </c>
      <c r="H3" s="121"/>
      <c r="I3" s="127"/>
      <c r="J3" s="122"/>
      <c r="K3" s="122"/>
      <c r="L3" s="122"/>
      <c r="M3" s="122"/>
      <c r="N3" s="122"/>
    </row>
    <row r="4" ht="34.5" customHeight="1">
      <c r="A4" s="122"/>
      <c r="B4" s="128" t="s">
        <v>33</v>
      </c>
      <c r="C4" s="129"/>
      <c r="D4" s="129"/>
      <c r="E4" s="129"/>
      <c r="F4" s="130"/>
      <c r="G4" s="210">
        <f>C25</f>
        <v>0</v>
      </c>
      <c r="H4" s="121"/>
      <c r="I4" s="127"/>
      <c r="J4" s="122"/>
      <c r="K4" s="122"/>
      <c r="L4" s="122"/>
      <c r="M4" s="122"/>
      <c r="N4" s="122"/>
    </row>
    <row r="5" ht="19.5" customHeight="1">
      <c r="A5" s="122"/>
      <c r="B5" s="132" t="s">
        <v>663</v>
      </c>
      <c r="C5" s="133"/>
      <c r="D5" s="133"/>
      <c r="E5" s="133"/>
      <c r="F5" s="134"/>
      <c r="G5" s="211" t="s">
        <v>664</v>
      </c>
      <c r="H5" s="121"/>
      <c r="I5" s="127"/>
      <c r="J5" s="122"/>
      <c r="K5" s="122"/>
      <c r="L5" s="122"/>
      <c r="M5" s="122"/>
      <c r="N5" s="122"/>
    </row>
    <row r="6" ht="34.5" customHeight="1">
      <c r="A6" s="122"/>
      <c r="B6" s="136" t="s">
        <v>665</v>
      </c>
      <c r="C6" s="129"/>
      <c r="D6" s="129"/>
      <c r="E6" s="129"/>
      <c r="F6" s="130"/>
      <c r="G6" s="210">
        <f>G25</f>
        <v>0</v>
      </c>
      <c r="H6" s="121"/>
      <c r="I6" s="127"/>
      <c r="J6" s="122"/>
      <c r="K6" s="122"/>
      <c r="L6" s="122"/>
      <c r="M6" s="122"/>
      <c r="N6" s="122"/>
    </row>
    <row r="7" ht="15.75" customHeight="1">
      <c r="A7" s="119"/>
      <c r="B7" s="119"/>
      <c r="C7" s="119"/>
      <c r="D7" s="119"/>
      <c r="E7" s="119"/>
      <c r="F7" s="119"/>
      <c r="G7" s="119"/>
      <c r="H7" s="119"/>
      <c r="I7" s="119"/>
      <c r="J7" s="119"/>
      <c r="K7" s="119"/>
      <c r="L7" s="119"/>
      <c r="M7" s="119"/>
      <c r="N7" s="119"/>
    </row>
    <row r="8" ht="15.75" customHeight="1">
      <c r="A8" s="119"/>
      <c r="B8" s="119"/>
      <c r="C8" s="119"/>
      <c r="D8" s="119"/>
      <c r="E8" s="137" t="s">
        <v>666</v>
      </c>
      <c r="F8" s="138"/>
      <c r="G8" s="139"/>
      <c r="H8" s="119"/>
      <c r="I8" s="119"/>
      <c r="J8" s="119"/>
      <c r="K8" s="119"/>
      <c r="L8" s="119"/>
      <c r="M8" s="119"/>
      <c r="N8" s="119"/>
    </row>
    <row r="9" ht="15.75" customHeight="1">
      <c r="A9" s="119"/>
      <c r="B9" s="140" t="s">
        <v>667</v>
      </c>
      <c r="C9" s="125"/>
      <c r="D9" s="141" t="s">
        <v>668</v>
      </c>
      <c r="E9" s="142" t="s">
        <v>669</v>
      </c>
      <c r="F9" s="143" t="s">
        <v>670</v>
      </c>
      <c r="G9" s="139"/>
      <c r="H9" s="119"/>
      <c r="I9" s="119"/>
      <c r="J9" s="119"/>
      <c r="K9" s="119"/>
      <c r="L9" s="119"/>
      <c r="M9" s="119"/>
      <c r="N9" s="119"/>
    </row>
    <row r="10" ht="34.5" customHeight="1">
      <c r="A10" s="119"/>
      <c r="B10" s="144" t="s">
        <v>671</v>
      </c>
      <c r="C10" s="130"/>
      <c r="D10" s="145"/>
      <c r="E10" s="146">
        <v>46085.0</v>
      </c>
      <c r="F10" s="147">
        <v>46086.0</v>
      </c>
      <c r="G10" s="139"/>
      <c r="H10" s="119"/>
      <c r="I10" s="119"/>
      <c r="J10" s="119"/>
      <c r="K10" s="119"/>
      <c r="L10" s="119"/>
      <c r="M10" s="119"/>
      <c r="N10" s="119"/>
    </row>
    <row r="11" ht="15.75" customHeight="1">
      <c r="A11" s="119"/>
      <c r="B11" s="119"/>
      <c r="C11" s="119"/>
      <c r="D11" s="119"/>
      <c r="E11" s="119"/>
      <c r="F11" s="119"/>
      <c r="G11" s="119"/>
      <c r="H11" s="119"/>
      <c r="I11" s="119"/>
      <c r="J11" s="119"/>
      <c r="K11" s="119"/>
      <c r="L11" s="119"/>
      <c r="M11" s="119"/>
      <c r="N11" s="119"/>
    </row>
    <row r="12" ht="24.75" customHeight="1">
      <c r="A12" s="122"/>
      <c r="B12" s="148" t="s">
        <v>770</v>
      </c>
      <c r="C12" s="124"/>
      <c r="D12" s="124"/>
      <c r="E12" s="124"/>
      <c r="F12" s="124"/>
      <c r="G12" s="124"/>
      <c r="H12" s="125"/>
      <c r="I12" s="122"/>
      <c r="J12" s="122"/>
      <c r="K12" s="122"/>
      <c r="L12" s="122"/>
      <c r="M12" s="122"/>
      <c r="N12" s="122"/>
    </row>
    <row r="13" ht="64.5" customHeight="1">
      <c r="A13" s="122"/>
      <c r="B13" s="151"/>
      <c r="C13" s="129"/>
      <c r="D13" s="129"/>
      <c r="E13" s="129"/>
      <c r="F13" s="129"/>
      <c r="G13" s="129"/>
      <c r="H13" s="130"/>
      <c r="I13" s="122"/>
      <c r="J13" s="122"/>
      <c r="K13" s="122"/>
      <c r="L13" s="122"/>
      <c r="M13" s="122"/>
      <c r="N13" s="122"/>
    </row>
    <row r="14" ht="15.75" customHeight="1">
      <c r="A14" s="119"/>
      <c r="B14" s="119"/>
      <c r="C14" s="119"/>
      <c r="D14" s="119"/>
      <c r="E14" s="119"/>
      <c r="F14" s="119"/>
      <c r="G14" s="119"/>
      <c r="H14" s="119"/>
      <c r="I14" s="119"/>
      <c r="J14" s="119"/>
      <c r="K14" s="119"/>
      <c r="L14" s="119"/>
      <c r="M14" s="119"/>
      <c r="N14" s="119"/>
    </row>
    <row r="15" ht="24.75" customHeight="1">
      <c r="A15" s="122"/>
      <c r="B15" s="150" t="s">
        <v>771</v>
      </c>
      <c r="C15" s="124"/>
      <c r="D15" s="124"/>
      <c r="E15" s="124"/>
      <c r="F15" s="124"/>
      <c r="G15" s="124"/>
      <c r="H15" s="125"/>
      <c r="I15" s="122"/>
      <c r="J15" s="122"/>
      <c r="K15" s="122"/>
      <c r="L15" s="122"/>
      <c r="M15" s="122"/>
      <c r="N15" s="122"/>
    </row>
    <row r="16" ht="64.5" customHeight="1">
      <c r="A16" s="122"/>
      <c r="B16" s="151"/>
      <c r="C16" s="129"/>
      <c r="D16" s="129"/>
      <c r="E16" s="129"/>
      <c r="F16" s="129"/>
      <c r="G16" s="129"/>
      <c r="H16" s="130"/>
      <c r="I16" s="122"/>
      <c r="J16" s="122"/>
      <c r="K16" s="122"/>
      <c r="L16" s="122"/>
      <c r="M16" s="122"/>
      <c r="N16" s="122"/>
    </row>
    <row r="17" ht="24.75" customHeight="1">
      <c r="A17" s="122"/>
      <c r="B17" s="152" t="s">
        <v>772</v>
      </c>
      <c r="C17" s="133"/>
      <c r="D17" s="133"/>
      <c r="E17" s="133"/>
      <c r="F17" s="133"/>
      <c r="G17" s="133"/>
      <c r="H17" s="134"/>
      <c r="I17" s="122"/>
      <c r="J17" s="122"/>
      <c r="K17" s="122"/>
      <c r="L17" s="122"/>
      <c r="M17" s="122"/>
      <c r="N17" s="122"/>
    </row>
    <row r="18" ht="64.5" customHeight="1">
      <c r="A18" s="122"/>
      <c r="B18" s="151"/>
      <c r="C18" s="129"/>
      <c r="D18" s="129"/>
      <c r="E18" s="129"/>
      <c r="F18" s="129"/>
      <c r="G18" s="129"/>
      <c r="H18" s="130"/>
      <c r="I18" s="122"/>
      <c r="J18" s="122"/>
      <c r="K18" s="122"/>
      <c r="L18" s="122"/>
      <c r="M18" s="122"/>
      <c r="N18" s="122"/>
    </row>
    <row r="19" ht="24.75" customHeight="1">
      <c r="A19" s="122"/>
      <c r="B19" s="152" t="s">
        <v>773</v>
      </c>
      <c r="C19" s="133"/>
      <c r="D19" s="133"/>
      <c r="E19" s="133"/>
      <c r="F19" s="133"/>
      <c r="G19" s="133"/>
      <c r="H19" s="134"/>
      <c r="I19" s="122"/>
      <c r="J19" s="122"/>
      <c r="K19" s="122"/>
      <c r="L19" s="122"/>
      <c r="M19" s="122"/>
      <c r="N19" s="122"/>
    </row>
    <row r="20" ht="64.5" customHeight="1">
      <c r="A20" s="122"/>
      <c r="B20" s="153"/>
      <c r="C20" s="129"/>
      <c r="D20" s="129"/>
      <c r="E20" s="129"/>
      <c r="F20" s="129"/>
      <c r="G20" s="129"/>
      <c r="H20" s="130"/>
      <c r="I20" s="122"/>
      <c r="J20" s="122"/>
      <c r="K20" s="122"/>
      <c r="L20" s="122"/>
      <c r="M20" s="122"/>
      <c r="N20" s="122"/>
    </row>
    <row r="21" ht="69.0" customHeight="1">
      <c r="A21" s="119"/>
      <c r="B21" s="119"/>
      <c r="C21" s="119"/>
      <c r="D21" s="119"/>
      <c r="E21" s="119"/>
      <c r="F21" s="119"/>
      <c r="G21" s="119"/>
      <c r="H21" s="119"/>
      <c r="I21" s="119"/>
      <c r="J21" s="119"/>
      <c r="K21" s="119"/>
      <c r="L21" s="119"/>
      <c r="M21" s="119"/>
      <c r="N21" s="119"/>
    </row>
    <row r="22" ht="9.0" customHeight="1">
      <c r="A22" s="119"/>
      <c r="B22" s="154"/>
      <c r="C22" s="154"/>
      <c r="D22" s="154"/>
      <c r="E22" s="154"/>
      <c r="F22" s="154"/>
      <c r="G22" s="154"/>
      <c r="H22" s="154"/>
      <c r="I22" s="154"/>
      <c r="J22" s="154"/>
      <c r="K22" s="154"/>
      <c r="L22" s="154"/>
      <c r="M22" s="154"/>
      <c r="N22" s="119"/>
    </row>
    <row r="23" ht="34.5" customHeight="1">
      <c r="A23" s="122"/>
      <c r="B23" s="155" t="s">
        <v>677</v>
      </c>
      <c r="C23" s="156"/>
      <c r="D23" s="156"/>
      <c r="E23" s="156"/>
      <c r="F23" s="156"/>
      <c r="G23" s="156"/>
      <c r="H23" s="156"/>
      <c r="I23" s="156"/>
      <c r="J23" s="156"/>
      <c r="K23" s="156"/>
      <c r="L23" s="156"/>
      <c r="M23" s="156"/>
      <c r="N23" s="156"/>
    </row>
    <row r="24" ht="25.5" customHeight="1">
      <c r="A24" s="119"/>
      <c r="B24" s="157" t="s">
        <v>678</v>
      </c>
      <c r="D24" s="157"/>
      <c r="E24" s="119"/>
      <c r="F24" s="157" t="s">
        <v>679</v>
      </c>
      <c r="I24" s="119"/>
      <c r="J24" s="158" t="s">
        <v>680</v>
      </c>
      <c r="M24" s="119"/>
      <c r="N24" s="119"/>
    </row>
    <row r="25" ht="54.75" customHeight="1">
      <c r="A25" s="119"/>
      <c r="B25" s="159" t="s">
        <v>681</v>
      </c>
      <c r="C25" s="160">
        <f>COUNTIF(B35:B59, "*")</f>
        <v>0</v>
      </c>
      <c r="D25" s="157"/>
      <c r="E25" s="119"/>
      <c r="F25" s="161" t="s">
        <v>682</v>
      </c>
      <c r="G25" s="162">
        <f>COUNTIF(B64:B213, "*")</f>
        <v>0</v>
      </c>
      <c r="I25" s="119"/>
      <c r="J25" s="163" t="s">
        <v>683</v>
      </c>
      <c r="K25" s="164">
        <f t="shared" ref="K25:K27" si="1">COUNTIF(K63:K212,J25)</f>
        <v>0</v>
      </c>
      <c r="L25" s="119"/>
      <c r="M25" s="119"/>
      <c r="N25" s="119"/>
    </row>
    <row r="26" ht="28.5" customHeight="1">
      <c r="A26" s="119"/>
      <c r="B26" s="165" t="s">
        <v>684</v>
      </c>
      <c r="C26" s="164">
        <f>COUNTIF(H35:H59,B26)</f>
        <v>0</v>
      </c>
      <c r="D26" s="157"/>
      <c r="E26" s="119"/>
      <c r="F26" s="166" t="s">
        <v>685</v>
      </c>
      <c r="G26" s="164">
        <f>COUNTIF(J64:J213,F26)</f>
        <v>0</v>
      </c>
      <c r="I26" s="119"/>
      <c r="J26" s="163" t="s">
        <v>686</v>
      </c>
      <c r="K26" s="164">
        <f t="shared" si="1"/>
        <v>0</v>
      </c>
      <c r="L26" s="119"/>
      <c r="M26" s="119"/>
      <c r="N26" s="119"/>
    </row>
    <row r="27" ht="28.5" customHeight="1">
      <c r="A27" s="119"/>
      <c r="B27" s="167" t="s">
        <v>112</v>
      </c>
      <c r="C27" s="168">
        <f>COUNTIF(H35:H59,B27)</f>
        <v>0</v>
      </c>
      <c r="D27" s="157"/>
      <c r="E27" s="119"/>
      <c r="F27" s="169" t="s">
        <v>687</v>
      </c>
      <c r="G27" s="168">
        <f>COUNTIF(J64:J213,F27)</f>
        <v>0</v>
      </c>
      <c r="I27" s="119"/>
      <c r="J27" s="163" t="s">
        <v>688</v>
      </c>
      <c r="K27" s="164">
        <f t="shared" si="1"/>
        <v>0</v>
      </c>
      <c r="L27" s="119"/>
      <c r="M27" s="119"/>
      <c r="N27" s="119"/>
    </row>
    <row r="28" ht="28.5" customHeight="1">
      <c r="A28" s="119"/>
      <c r="B28" s="167" t="s">
        <v>689</v>
      </c>
      <c r="C28" s="168">
        <f>COUNTIF(H35:H59,B28)</f>
        <v>0</v>
      </c>
      <c r="D28" s="157"/>
      <c r="E28" s="119"/>
      <c r="F28" s="169" t="s">
        <v>690</v>
      </c>
      <c r="G28" s="168">
        <f>COUNTIF(J64:J213,F28)</f>
        <v>0</v>
      </c>
      <c r="I28" s="119"/>
      <c r="J28" s="119"/>
      <c r="K28" s="119"/>
      <c r="L28" s="119"/>
      <c r="M28" s="119"/>
      <c r="N28" s="119"/>
    </row>
    <row r="29" ht="28.5" customHeight="1">
      <c r="A29" s="119"/>
      <c r="B29" s="170" t="s">
        <v>691</v>
      </c>
      <c r="C29" s="168">
        <f>COUNTIF(I35:I59,B29)</f>
        <v>0</v>
      </c>
      <c r="D29" s="157"/>
      <c r="E29" s="119"/>
      <c r="F29" s="169" t="s">
        <v>692</v>
      </c>
      <c r="G29" s="168">
        <f>COUNTIF(J64:J213,F29)</f>
        <v>0</v>
      </c>
      <c r="I29" s="119"/>
      <c r="J29" s="119"/>
      <c r="K29" s="119"/>
      <c r="L29" s="119"/>
      <c r="M29" s="119"/>
      <c r="N29" s="119"/>
    </row>
    <row r="30" ht="28.5" customHeight="1">
      <c r="A30" s="119"/>
      <c r="B30" s="170" t="s">
        <v>693</v>
      </c>
      <c r="C30" s="168">
        <f>COUNTIF(I35:I59,B30)</f>
        <v>0</v>
      </c>
      <c r="D30" s="157"/>
      <c r="E30" s="119"/>
      <c r="F30" s="119"/>
      <c r="G30" s="119"/>
      <c r="H30" s="119"/>
      <c r="I30" s="119"/>
      <c r="J30" s="119"/>
      <c r="K30" s="119"/>
      <c r="L30" s="119"/>
      <c r="M30" s="119"/>
      <c r="N30" s="119"/>
    </row>
    <row r="31" ht="28.5" customHeight="1">
      <c r="A31" s="119"/>
      <c r="B31" s="170" t="s">
        <v>694</v>
      </c>
      <c r="C31" s="168">
        <f>COUNTIF(I35:I59,B31)</f>
        <v>0</v>
      </c>
      <c r="D31" s="157"/>
      <c r="E31" s="119"/>
      <c r="F31" s="119"/>
      <c r="G31" s="119"/>
      <c r="H31" s="119"/>
      <c r="I31" s="119"/>
      <c r="J31" s="119"/>
      <c r="K31" s="119"/>
      <c r="L31" s="119"/>
      <c r="M31" s="119"/>
      <c r="N31" s="119"/>
    </row>
    <row r="32" ht="15.75" customHeight="1">
      <c r="A32" s="119"/>
      <c r="B32" s="119"/>
      <c r="C32" s="119"/>
      <c r="D32" s="119"/>
      <c r="E32" s="119"/>
      <c r="F32" s="119"/>
      <c r="G32" s="119"/>
      <c r="H32" s="119"/>
      <c r="I32" s="119"/>
      <c r="J32" s="119"/>
      <c r="K32" s="119"/>
      <c r="L32" s="119"/>
      <c r="M32" s="119"/>
      <c r="N32" s="119"/>
    </row>
    <row r="33" ht="34.5" customHeight="1">
      <c r="A33" s="122"/>
      <c r="B33" s="171" t="s">
        <v>695</v>
      </c>
      <c r="C33" s="156"/>
      <c r="D33" s="156"/>
      <c r="E33" s="156"/>
      <c r="F33" s="156"/>
      <c r="G33" s="156"/>
      <c r="H33" s="156"/>
      <c r="I33" s="156"/>
      <c r="J33" s="156"/>
      <c r="K33" s="156"/>
      <c r="L33" s="156"/>
      <c r="M33" s="156"/>
      <c r="N33" s="156"/>
    </row>
    <row r="34" ht="39.75" customHeight="1">
      <c r="A34" s="172"/>
      <c r="B34" s="173" t="s">
        <v>696</v>
      </c>
      <c r="C34" s="173" t="s">
        <v>697</v>
      </c>
      <c r="D34" s="174" t="s">
        <v>698</v>
      </c>
      <c r="E34" s="174" t="s">
        <v>699</v>
      </c>
      <c r="F34" s="174" t="s">
        <v>700</v>
      </c>
      <c r="G34" s="175" t="s">
        <v>701</v>
      </c>
      <c r="H34" s="173" t="s">
        <v>702</v>
      </c>
      <c r="I34" s="173" t="s">
        <v>703</v>
      </c>
      <c r="J34" s="176" t="s">
        <v>704</v>
      </c>
      <c r="K34" s="176" t="s">
        <v>652</v>
      </c>
      <c r="L34" s="119"/>
      <c r="M34" s="119"/>
      <c r="N34" s="172"/>
    </row>
    <row r="35" ht="15.75" customHeight="1">
      <c r="A35" s="119"/>
      <c r="B35" s="184"/>
      <c r="C35" s="178"/>
      <c r="D35" s="179"/>
      <c r="E35" s="179"/>
      <c r="F35" s="179"/>
      <c r="G35" s="179"/>
      <c r="H35" s="187"/>
      <c r="I35" s="181"/>
      <c r="J35" s="182"/>
      <c r="K35" s="183"/>
      <c r="L35" s="119"/>
      <c r="M35" s="119"/>
      <c r="N35" s="119"/>
    </row>
    <row r="36" ht="15.75" customHeight="1">
      <c r="A36" s="119"/>
      <c r="B36" s="184"/>
      <c r="C36" s="178"/>
      <c r="D36" s="179"/>
      <c r="E36" s="179"/>
      <c r="F36" s="179"/>
      <c r="G36" s="179"/>
      <c r="H36" s="167"/>
      <c r="I36" s="181"/>
      <c r="J36" s="182"/>
      <c r="K36" s="183"/>
      <c r="L36" s="119"/>
      <c r="M36" s="119"/>
      <c r="N36" s="119"/>
    </row>
    <row r="37" ht="15.75" customHeight="1">
      <c r="A37" s="119"/>
      <c r="B37" s="184"/>
      <c r="C37" s="178"/>
      <c r="D37" s="179"/>
      <c r="E37" s="179"/>
      <c r="F37" s="179"/>
      <c r="G37" s="179"/>
      <c r="H37" s="167"/>
      <c r="I37" s="186"/>
      <c r="J37" s="182"/>
      <c r="K37" s="183"/>
      <c r="L37" s="119"/>
      <c r="M37" s="119"/>
      <c r="N37" s="119"/>
    </row>
    <row r="38" ht="15.75" customHeight="1">
      <c r="A38" s="119"/>
      <c r="B38" s="184"/>
      <c r="C38" s="178"/>
      <c r="D38" s="179"/>
      <c r="E38" s="179"/>
      <c r="F38" s="179"/>
      <c r="G38" s="179"/>
      <c r="H38" s="187"/>
      <c r="I38" s="186"/>
      <c r="J38" s="182"/>
      <c r="K38" s="183"/>
      <c r="L38" s="119"/>
      <c r="M38" s="119"/>
      <c r="N38" s="119"/>
    </row>
    <row r="39" ht="15.75" customHeight="1">
      <c r="A39" s="119"/>
      <c r="B39" s="184"/>
      <c r="C39" s="178"/>
      <c r="D39" s="179"/>
      <c r="E39" s="179"/>
      <c r="F39" s="179"/>
      <c r="G39" s="179"/>
      <c r="H39" s="187"/>
      <c r="I39" s="186"/>
      <c r="J39" s="182"/>
      <c r="K39" s="183"/>
      <c r="L39" s="119"/>
      <c r="M39" s="119"/>
      <c r="N39" s="119"/>
    </row>
    <row r="40" ht="15.75" customHeight="1">
      <c r="A40" s="119"/>
      <c r="B40" s="184"/>
      <c r="C40" s="178"/>
      <c r="D40" s="179"/>
      <c r="E40" s="179"/>
      <c r="F40" s="179"/>
      <c r="G40" s="179"/>
      <c r="H40" s="187"/>
      <c r="I40" s="186"/>
      <c r="J40" s="182"/>
      <c r="K40" s="183"/>
      <c r="L40" s="119"/>
      <c r="M40" s="119"/>
      <c r="N40" s="119"/>
    </row>
    <row r="41" ht="15.75" customHeight="1">
      <c r="A41" s="119"/>
      <c r="B41" s="184"/>
      <c r="C41" s="178"/>
      <c r="D41" s="179"/>
      <c r="E41" s="179"/>
      <c r="F41" s="179"/>
      <c r="G41" s="179"/>
      <c r="H41" s="187"/>
      <c r="I41" s="186"/>
      <c r="J41" s="182"/>
      <c r="K41" s="183"/>
      <c r="L41" s="119"/>
      <c r="M41" s="119"/>
      <c r="N41" s="119"/>
    </row>
    <row r="42" ht="15.75" customHeight="1">
      <c r="A42" s="119"/>
      <c r="B42" s="184"/>
      <c r="C42" s="178"/>
      <c r="D42" s="179"/>
      <c r="E42" s="179"/>
      <c r="F42" s="179"/>
      <c r="G42" s="179"/>
      <c r="H42" s="187"/>
      <c r="I42" s="181"/>
      <c r="J42" s="182"/>
      <c r="K42" s="183"/>
      <c r="L42" s="119"/>
      <c r="M42" s="119"/>
      <c r="N42" s="119"/>
    </row>
    <row r="43" ht="15.75" customHeight="1">
      <c r="A43" s="119"/>
      <c r="B43" s="184"/>
      <c r="C43" s="178"/>
      <c r="D43" s="179"/>
      <c r="E43" s="179"/>
      <c r="F43" s="179"/>
      <c r="G43" s="179"/>
      <c r="H43" s="187"/>
      <c r="I43" s="186"/>
      <c r="J43" s="182"/>
      <c r="K43" s="183"/>
      <c r="L43" s="119"/>
      <c r="M43" s="119"/>
      <c r="N43" s="119"/>
    </row>
    <row r="44" ht="15.75" customHeight="1">
      <c r="A44" s="119"/>
      <c r="B44" s="184"/>
      <c r="C44" s="178"/>
      <c r="D44" s="179"/>
      <c r="E44" s="179"/>
      <c r="F44" s="179"/>
      <c r="G44" s="179"/>
      <c r="H44" s="187"/>
      <c r="I44" s="186"/>
      <c r="J44" s="182"/>
      <c r="K44" s="183"/>
      <c r="L44" s="119"/>
      <c r="M44" s="119"/>
      <c r="N44" s="119"/>
    </row>
    <row r="45" ht="15.75" customHeight="1">
      <c r="A45" s="119"/>
      <c r="B45" s="184"/>
      <c r="C45" s="178"/>
      <c r="D45" s="179"/>
      <c r="E45" s="179"/>
      <c r="F45" s="179"/>
      <c r="G45" s="179"/>
      <c r="H45" s="187"/>
      <c r="I45" s="186"/>
      <c r="J45" s="182"/>
      <c r="K45" s="183"/>
      <c r="L45" s="119"/>
      <c r="M45" s="119"/>
      <c r="N45" s="119"/>
    </row>
    <row r="46" ht="15.75" customHeight="1">
      <c r="A46" s="119"/>
      <c r="B46" s="184"/>
      <c r="C46" s="178"/>
      <c r="D46" s="179"/>
      <c r="E46" s="179"/>
      <c r="F46" s="179"/>
      <c r="G46" s="179"/>
      <c r="H46" s="187"/>
      <c r="I46" s="186"/>
      <c r="J46" s="182"/>
      <c r="K46" s="183"/>
      <c r="L46" s="119"/>
      <c r="M46" s="119"/>
      <c r="N46" s="119"/>
    </row>
    <row r="47" ht="15.75" customHeight="1">
      <c r="A47" s="119"/>
      <c r="B47" s="184"/>
      <c r="C47" s="178"/>
      <c r="D47" s="179"/>
      <c r="E47" s="179"/>
      <c r="F47" s="179"/>
      <c r="G47" s="179"/>
      <c r="H47" s="187"/>
      <c r="I47" s="186"/>
      <c r="J47" s="182"/>
      <c r="K47" s="183"/>
      <c r="L47" s="119"/>
      <c r="M47" s="119"/>
      <c r="N47" s="119"/>
    </row>
    <row r="48" ht="15.75" customHeight="1">
      <c r="A48" s="119"/>
      <c r="B48" s="184"/>
      <c r="C48" s="178"/>
      <c r="D48" s="179"/>
      <c r="E48" s="179"/>
      <c r="F48" s="179"/>
      <c r="G48" s="179"/>
      <c r="H48" s="187"/>
      <c r="I48" s="186"/>
      <c r="J48" s="182"/>
      <c r="K48" s="183"/>
      <c r="L48" s="119"/>
      <c r="M48" s="119"/>
      <c r="N48" s="119"/>
    </row>
    <row r="49" ht="15.75" customHeight="1">
      <c r="A49" s="119"/>
      <c r="B49" s="184"/>
      <c r="C49" s="178"/>
      <c r="D49" s="179"/>
      <c r="E49" s="179"/>
      <c r="F49" s="179"/>
      <c r="G49" s="179"/>
      <c r="H49" s="187"/>
      <c r="I49" s="181"/>
      <c r="J49" s="182"/>
      <c r="K49" s="183"/>
      <c r="L49" s="119"/>
      <c r="M49" s="119"/>
      <c r="N49" s="119"/>
    </row>
    <row r="50" ht="15.75" customHeight="1">
      <c r="A50" s="119"/>
      <c r="B50" s="184"/>
      <c r="C50" s="178"/>
      <c r="D50" s="179"/>
      <c r="E50" s="179"/>
      <c r="F50" s="179"/>
      <c r="G50" s="179"/>
      <c r="H50" s="187"/>
      <c r="I50" s="186"/>
      <c r="J50" s="182"/>
      <c r="K50" s="183"/>
      <c r="L50" s="119"/>
      <c r="M50" s="119"/>
      <c r="N50" s="119"/>
    </row>
    <row r="51" ht="15.75" customHeight="1">
      <c r="A51" s="119"/>
      <c r="B51" s="184"/>
      <c r="C51" s="178"/>
      <c r="D51" s="179"/>
      <c r="E51" s="179"/>
      <c r="F51" s="179"/>
      <c r="G51" s="179"/>
      <c r="H51" s="187"/>
      <c r="I51" s="186"/>
      <c r="J51" s="182"/>
      <c r="K51" s="183"/>
      <c r="L51" s="119"/>
      <c r="M51" s="119"/>
      <c r="N51" s="119"/>
    </row>
    <row r="52" ht="15.75" customHeight="1">
      <c r="A52" s="119"/>
      <c r="B52" s="184"/>
      <c r="C52" s="178"/>
      <c r="D52" s="179"/>
      <c r="E52" s="179"/>
      <c r="F52" s="179"/>
      <c r="G52" s="179"/>
      <c r="H52" s="187"/>
      <c r="I52" s="186"/>
      <c r="J52" s="182"/>
      <c r="K52" s="183"/>
      <c r="L52" s="119"/>
      <c r="M52" s="119"/>
      <c r="N52" s="119"/>
    </row>
    <row r="53" ht="15.75" customHeight="1">
      <c r="A53" s="119"/>
      <c r="B53" s="184"/>
      <c r="C53" s="178"/>
      <c r="D53" s="179"/>
      <c r="E53" s="179"/>
      <c r="F53" s="179"/>
      <c r="G53" s="179"/>
      <c r="H53" s="187"/>
      <c r="I53" s="186"/>
      <c r="J53" s="182"/>
      <c r="K53" s="183"/>
      <c r="L53" s="119"/>
      <c r="M53" s="119"/>
      <c r="N53" s="119"/>
    </row>
    <row r="54" ht="15.75" customHeight="1">
      <c r="A54" s="119"/>
      <c r="B54" s="184"/>
      <c r="C54" s="178"/>
      <c r="D54" s="179"/>
      <c r="E54" s="179"/>
      <c r="F54" s="179"/>
      <c r="G54" s="179"/>
      <c r="H54" s="187"/>
      <c r="I54" s="186"/>
      <c r="J54" s="182"/>
      <c r="K54" s="183"/>
      <c r="L54" s="119"/>
      <c r="M54" s="119"/>
      <c r="N54" s="119"/>
    </row>
    <row r="55" ht="15.75" customHeight="1">
      <c r="A55" s="119"/>
      <c r="B55" s="184"/>
      <c r="C55" s="178"/>
      <c r="D55" s="179"/>
      <c r="E55" s="179"/>
      <c r="F55" s="179"/>
      <c r="G55" s="179"/>
      <c r="H55" s="187"/>
      <c r="I55" s="186"/>
      <c r="J55" s="182"/>
      <c r="K55" s="183"/>
      <c r="L55" s="119"/>
      <c r="M55" s="119"/>
      <c r="N55" s="119"/>
    </row>
    <row r="56" ht="15.75" customHeight="1">
      <c r="A56" s="119"/>
      <c r="B56" s="184"/>
      <c r="C56" s="178"/>
      <c r="D56" s="179"/>
      <c r="E56" s="179"/>
      <c r="F56" s="179"/>
      <c r="G56" s="179"/>
      <c r="H56" s="187"/>
      <c r="I56" s="186"/>
      <c r="J56" s="182"/>
      <c r="K56" s="183"/>
      <c r="L56" s="119"/>
      <c r="M56" s="119"/>
      <c r="N56" s="119"/>
    </row>
    <row r="57" ht="15.75" customHeight="1">
      <c r="A57" s="119"/>
      <c r="B57" s="184"/>
      <c r="C57" s="178"/>
      <c r="D57" s="179"/>
      <c r="E57" s="179"/>
      <c r="F57" s="179"/>
      <c r="G57" s="179"/>
      <c r="H57" s="187"/>
      <c r="I57" s="186"/>
      <c r="J57" s="182"/>
      <c r="K57" s="183"/>
      <c r="L57" s="119"/>
      <c r="M57" s="119"/>
      <c r="N57" s="119"/>
    </row>
    <row r="58" ht="15.75" customHeight="1">
      <c r="A58" s="119"/>
      <c r="B58" s="184"/>
      <c r="C58" s="178"/>
      <c r="D58" s="179"/>
      <c r="E58" s="179"/>
      <c r="F58" s="179"/>
      <c r="G58" s="179"/>
      <c r="H58" s="187"/>
      <c r="I58" s="186"/>
      <c r="J58" s="182"/>
      <c r="K58" s="183"/>
      <c r="L58" s="119"/>
      <c r="M58" s="119"/>
      <c r="N58" s="119"/>
    </row>
    <row r="59" ht="15.75" customHeight="1">
      <c r="A59" s="119"/>
      <c r="B59" s="184"/>
      <c r="C59" s="178"/>
      <c r="D59" s="179"/>
      <c r="E59" s="179"/>
      <c r="F59" s="179"/>
      <c r="G59" s="179"/>
      <c r="H59" s="187"/>
      <c r="I59" s="186"/>
      <c r="J59" s="182"/>
      <c r="K59" s="183"/>
      <c r="L59" s="119"/>
      <c r="M59" s="119"/>
      <c r="N59" s="119"/>
    </row>
    <row r="60" ht="15.75" customHeight="1">
      <c r="A60" s="119"/>
      <c r="B60" s="119"/>
      <c r="C60" s="119"/>
      <c r="D60" s="119"/>
      <c r="E60" s="119"/>
      <c r="F60" s="119"/>
      <c r="G60" s="119"/>
      <c r="H60" s="119"/>
      <c r="I60" s="119"/>
      <c r="J60" s="119"/>
      <c r="K60" s="119"/>
      <c r="L60" s="119"/>
      <c r="M60" s="119"/>
      <c r="N60" s="119"/>
    </row>
    <row r="61" ht="9.75" customHeight="1">
      <c r="A61" s="122"/>
      <c r="B61" s="122"/>
      <c r="C61" s="156"/>
      <c r="D61" s="156"/>
      <c r="E61" s="156"/>
      <c r="F61" s="156"/>
      <c r="G61" s="156"/>
      <c r="H61" s="156"/>
      <c r="I61" s="156"/>
      <c r="J61" s="156"/>
      <c r="K61" s="156"/>
      <c r="L61" s="156"/>
      <c r="M61" s="156"/>
      <c r="N61" s="156"/>
    </row>
    <row r="62" ht="34.5" customHeight="1">
      <c r="A62" s="122"/>
      <c r="B62" s="188" t="s">
        <v>705</v>
      </c>
      <c r="C62" s="156"/>
      <c r="D62" s="156"/>
      <c r="E62" s="156"/>
      <c r="F62" s="156"/>
      <c r="G62" s="156"/>
      <c r="H62" s="156"/>
      <c r="I62" s="156"/>
      <c r="J62" s="156"/>
      <c r="K62" s="156"/>
      <c r="L62" s="156"/>
      <c r="M62" s="156"/>
      <c r="N62" s="156"/>
    </row>
    <row r="63" ht="39.75" customHeight="1">
      <c r="A63" s="172"/>
      <c r="B63" s="189" t="s">
        <v>706</v>
      </c>
      <c r="C63" s="189" t="s">
        <v>707</v>
      </c>
      <c r="D63" s="190" t="s">
        <v>645</v>
      </c>
      <c r="E63" s="191" t="s">
        <v>698</v>
      </c>
      <c r="F63" s="191" t="s">
        <v>708</v>
      </c>
      <c r="G63" s="191" t="s">
        <v>709</v>
      </c>
      <c r="H63" s="191" t="s">
        <v>710</v>
      </c>
      <c r="I63" s="192" t="s">
        <v>701</v>
      </c>
      <c r="J63" s="193" t="s">
        <v>711</v>
      </c>
      <c r="K63" s="194" t="s">
        <v>712</v>
      </c>
      <c r="L63" s="176" t="s">
        <v>713</v>
      </c>
      <c r="M63" s="176" t="s">
        <v>652</v>
      </c>
      <c r="N63" s="172"/>
    </row>
    <row r="64">
      <c r="A64" s="119"/>
      <c r="B64" s="195"/>
      <c r="C64" s="196"/>
      <c r="D64" s="179"/>
      <c r="E64" s="179"/>
      <c r="F64" s="179"/>
      <c r="G64" s="179"/>
      <c r="H64" s="179"/>
      <c r="I64" s="179"/>
      <c r="J64" s="198"/>
      <c r="K64" s="199"/>
      <c r="L64" s="182"/>
      <c r="M64" s="183"/>
      <c r="N64" s="119"/>
    </row>
    <row r="65">
      <c r="A65" s="119"/>
      <c r="B65" s="202"/>
      <c r="C65" s="196"/>
      <c r="D65" s="179"/>
      <c r="E65" s="179"/>
      <c r="F65" s="179"/>
      <c r="G65" s="179"/>
      <c r="H65" s="179"/>
      <c r="I65" s="179"/>
      <c r="J65" s="198"/>
      <c r="K65" s="199"/>
      <c r="L65" s="182"/>
      <c r="M65" s="183"/>
      <c r="N65" s="119"/>
    </row>
    <row r="66">
      <c r="A66" s="119"/>
      <c r="B66" s="202"/>
      <c r="C66" s="196"/>
      <c r="D66" s="179"/>
      <c r="E66" s="179"/>
      <c r="F66" s="179"/>
      <c r="G66" s="179"/>
      <c r="H66" s="179"/>
      <c r="I66" s="179"/>
      <c r="J66" s="198"/>
      <c r="K66" s="199"/>
      <c r="L66" s="182"/>
      <c r="M66" s="183"/>
      <c r="N66" s="119"/>
    </row>
    <row r="67">
      <c r="A67" s="119"/>
      <c r="B67" s="202"/>
      <c r="C67" s="196"/>
      <c r="D67" s="179"/>
      <c r="E67" s="179"/>
      <c r="F67" s="179"/>
      <c r="G67" s="179"/>
      <c r="H67" s="179"/>
      <c r="I67" s="179"/>
      <c r="J67" s="201"/>
      <c r="K67" s="199"/>
      <c r="L67" s="182"/>
      <c r="M67" s="183"/>
      <c r="N67" s="119"/>
    </row>
    <row r="68">
      <c r="A68" s="119"/>
      <c r="B68" s="202"/>
      <c r="C68" s="196"/>
      <c r="D68" s="179"/>
      <c r="E68" s="179"/>
      <c r="F68" s="179"/>
      <c r="G68" s="179"/>
      <c r="H68" s="179"/>
      <c r="I68" s="179"/>
      <c r="J68" s="201"/>
      <c r="K68" s="199"/>
      <c r="L68" s="182"/>
      <c r="M68" s="183"/>
      <c r="N68" s="119"/>
    </row>
    <row r="69">
      <c r="A69" s="119"/>
      <c r="B69" s="202"/>
      <c r="C69" s="196"/>
      <c r="D69" s="179"/>
      <c r="E69" s="179"/>
      <c r="F69" s="179"/>
      <c r="G69" s="179"/>
      <c r="H69" s="179"/>
      <c r="I69" s="179"/>
      <c r="J69" s="201"/>
      <c r="K69" s="199"/>
      <c r="L69" s="182"/>
      <c r="M69" s="183"/>
      <c r="N69" s="119"/>
    </row>
    <row r="70">
      <c r="A70" s="119"/>
      <c r="B70" s="202"/>
      <c r="C70" s="196"/>
      <c r="D70" s="197"/>
      <c r="E70" s="179"/>
      <c r="F70" s="179"/>
      <c r="G70" s="179"/>
      <c r="H70" s="179"/>
      <c r="I70" s="179"/>
      <c r="J70" s="201"/>
      <c r="K70" s="199"/>
      <c r="L70" s="182"/>
      <c r="M70" s="183"/>
      <c r="N70" s="119"/>
    </row>
    <row r="71">
      <c r="A71" s="119"/>
      <c r="B71" s="202"/>
      <c r="C71" s="196"/>
      <c r="D71" s="197"/>
      <c r="E71" s="179"/>
      <c r="F71" s="179"/>
      <c r="G71" s="179"/>
      <c r="H71" s="179"/>
      <c r="I71" s="179"/>
      <c r="J71" s="201"/>
      <c r="K71" s="199"/>
      <c r="L71" s="182"/>
      <c r="M71" s="183"/>
      <c r="N71" s="119"/>
    </row>
    <row r="72">
      <c r="A72" s="119"/>
      <c r="B72" s="202"/>
      <c r="C72" s="196"/>
      <c r="D72" s="197"/>
      <c r="E72" s="179"/>
      <c r="F72" s="179"/>
      <c r="G72" s="179"/>
      <c r="H72" s="179"/>
      <c r="I72" s="179"/>
      <c r="J72" s="201"/>
      <c r="K72" s="199"/>
      <c r="L72" s="182"/>
      <c r="M72" s="183"/>
      <c r="N72" s="119"/>
    </row>
    <row r="73">
      <c r="A73" s="119"/>
      <c r="B73" s="202"/>
      <c r="C73" s="196"/>
      <c r="D73" s="197"/>
      <c r="E73" s="179"/>
      <c r="F73" s="179"/>
      <c r="G73" s="179"/>
      <c r="H73" s="179"/>
      <c r="I73" s="179"/>
      <c r="J73" s="201"/>
      <c r="K73" s="199"/>
      <c r="L73" s="182"/>
      <c r="M73" s="183"/>
      <c r="N73" s="119"/>
    </row>
    <row r="74">
      <c r="A74" s="119"/>
      <c r="B74" s="202"/>
      <c r="C74" s="196"/>
      <c r="D74" s="197"/>
      <c r="E74" s="179"/>
      <c r="F74" s="179"/>
      <c r="G74" s="179"/>
      <c r="H74" s="179"/>
      <c r="I74" s="179"/>
      <c r="J74" s="201"/>
      <c r="K74" s="199"/>
      <c r="L74" s="182"/>
      <c r="M74" s="183"/>
      <c r="N74" s="119"/>
    </row>
    <row r="75">
      <c r="A75" s="119"/>
      <c r="B75" s="202"/>
      <c r="C75" s="196"/>
      <c r="D75" s="197"/>
      <c r="E75" s="179"/>
      <c r="F75" s="179"/>
      <c r="G75" s="179"/>
      <c r="H75" s="179"/>
      <c r="I75" s="179"/>
      <c r="J75" s="201"/>
      <c r="K75" s="199"/>
      <c r="L75" s="182"/>
      <c r="M75" s="183"/>
      <c r="N75" s="119"/>
    </row>
    <row r="76">
      <c r="A76" s="119"/>
      <c r="B76" s="202"/>
      <c r="C76" s="196"/>
      <c r="D76" s="197"/>
      <c r="E76" s="179"/>
      <c r="F76" s="179"/>
      <c r="G76" s="179"/>
      <c r="H76" s="179"/>
      <c r="I76" s="179"/>
      <c r="J76" s="201"/>
      <c r="K76" s="199"/>
      <c r="L76" s="182"/>
      <c r="M76" s="183"/>
      <c r="N76" s="119"/>
    </row>
    <row r="77">
      <c r="A77" s="119"/>
      <c r="B77" s="202"/>
      <c r="C77" s="196"/>
      <c r="D77" s="197"/>
      <c r="E77" s="179"/>
      <c r="F77" s="179"/>
      <c r="G77" s="179"/>
      <c r="H77" s="179"/>
      <c r="I77" s="179"/>
      <c r="J77" s="201"/>
      <c r="K77" s="199"/>
      <c r="L77" s="182"/>
      <c r="M77" s="183"/>
      <c r="N77" s="119"/>
    </row>
    <row r="78">
      <c r="A78" s="119"/>
      <c r="B78" s="202"/>
      <c r="C78" s="196"/>
      <c r="D78" s="197"/>
      <c r="E78" s="179"/>
      <c r="F78" s="179"/>
      <c r="G78" s="179"/>
      <c r="H78" s="179"/>
      <c r="I78" s="179"/>
      <c r="J78" s="201"/>
      <c r="K78" s="199"/>
      <c r="L78" s="182"/>
      <c r="M78" s="183"/>
      <c r="N78" s="119"/>
    </row>
    <row r="79">
      <c r="A79" s="119"/>
      <c r="B79" s="202"/>
      <c r="C79" s="196"/>
      <c r="D79" s="197"/>
      <c r="E79" s="179"/>
      <c r="F79" s="179"/>
      <c r="G79" s="179"/>
      <c r="H79" s="179"/>
      <c r="I79" s="179"/>
      <c r="J79" s="201"/>
      <c r="K79" s="199"/>
      <c r="L79" s="182"/>
      <c r="M79" s="183"/>
      <c r="N79" s="119"/>
    </row>
    <row r="80">
      <c r="A80" s="119"/>
      <c r="B80" s="202"/>
      <c r="C80" s="196"/>
      <c r="D80" s="197"/>
      <c r="E80" s="179"/>
      <c r="F80" s="179"/>
      <c r="G80" s="179"/>
      <c r="H80" s="179"/>
      <c r="I80" s="179"/>
      <c r="J80" s="201"/>
      <c r="K80" s="199"/>
      <c r="L80" s="182"/>
      <c r="M80" s="183"/>
      <c r="N80" s="119"/>
    </row>
    <row r="81">
      <c r="A81" s="119"/>
      <c r="B81" s="202"/>
      <c r="C81" s="196"/>
      <c r="D81" s="197"/>
      <c r="E81" s="179"/>
      <c r="F81" s="179"/>
      <c r="G81" s="179"/>
      <c r="H81" s="179"/>
      <c r="I81" s="179"/>
      <c r="J81" s="201"/>
      <c r="K81" s="199"/>
      <c r="L81" s="182"/>
      <c r="M81" s="183"/>
      <c r="N81" s="119"/>
    </row>
    <row r="82">
      <c r="A82" s="119"/>
      <c r="B82" s="202"/>
      <c r="C82" s="196"/>
      <c r="D82" s="197"/>
      <c r="E82" s="179"/>
      <c r="F82" s="179"/>
      <c r="G82" s="179"/>
      <c r="H82" s="179"/>
      <c r="I82" s="179"/>
      <c r="J82" s="201"/>
      <c r="K82" s="199"/>
      <c r="L82" s="182"/>
      <c r="M82" s="183"/>
      <c r="N82" s="119"/>
    </row>
    <row r="83">
      <c r="A83" s="119"/>
      <c r="B83" s="202"/>
      <c r="C83" s="196"/>
      <c r="D83" s="197"/>
      <c r="E83" s="179"/>
      <c r="F83" s="179"/>
      <c r="G83" s="179"/>
      <c r="H83" s="179"/>
      <c r="I83" s="179"/>
      <c r="J83" s="201"/>
      <c r="K83" s="199"/>
      <c r="L83" s="182"/>
      <c r="M83" s="183"/>
      <c r="N83" s="119"/>
    </row>
    <row r="84">
      <c r="A84" s="119"/>
      <c r="B84" s="202"/>
      <c r="C84" s="196"/>
      <c r="D84" s="197"/>
      <c r="E84" s="179"/>
      <c r="F84" s="179"/>
      <c r="G84" s="179"/>
      <c r="H84" s="179"/>
      <c r="I84" s="179"/>
      <c r="J84" s="201"/>
      <c r="K84" s="199"/>
      <c r="L84" s="182"/>
      <c r="M84" s="183"/>
      <c r="N84" s="119"/>
    </row>
    <row r="85">
      <c r="A85" s="119"/>
      <c r="B85" s="202"/>
      <c r="C85" s="196"/>
      <c r="D85" s="197"/>
      <c r="E85" s="179"/>
      <c r="F85" s="179"/>
      <c r="G85" s="179"/>
      <c r="H85" s="179"/>
      <c r="I85" s="179"/>
      <c r="J85" s="201"/>
      <c r="K85" s="199"/>
      <c r="L85" s="182"/>
      <c r="M85" s="183"/>
      <c r="N85" s="119"/>
    </row>
    <row r="86">
      <c r="A86" s="119"/>
      <c r="B86" s="202"/>
      <c r="C86" s="196"/>
      <c r="D86" s="197"/>
      <c r="E86" s="179"/>
      <c r="F86" s="179"/>
      <c r="G86" s="179"/>
      <c r="H86" s="179"/>
      <c r="I86" s="179"/>
      <c r="J86" s="201"/>
      <c r="K86" s="199"/>
      <c r="L86" s="182"/>
      <c r="M86" s="183"/>
      <c r="N86" s="119"/>
    </row>
    <row r="87">
      <c r="A87" s="119"/>
      <c r="B87" s="202"/>
      <c r="C87" s="196"/>
      <c r="D87" s="197"/>
      <c r="E87" s="179"/>
      <c r="F87" s="179"/>
      <c r="G87" s="179"/>
      <c r="H87" s="179"/>
      <c r="I87" s="179"/>
      <c r="J87" s="201"/>
      <c r="K87" s="199"/>
      <c r="L87" s="182"/>
      <c r="M87" s="183"/>
      <c r="N87" s="119"/>
    </row>
    <row r="88">
      <c r="A88" s="119"/>
      <c r="B88" s="202"/>
      <c r="C88" s="196"/>
      <c r="D88" s="197"/>
      <c r="E88" s="179"/>
      <c r="F88" s="179"/>
      <c r="G88" s="179"/>
      <c r="H88" s="179"/>
      <c r="I88" s="179"/>
      <c r="J88" s="201"/>
      <c r="K88" s="199"/>
      <c r="L88" s="182"/>
      <c r="M88" s="183"/>
      <c r="N88" s="119"/>
    </row>
    <row r="89">
      <c r="A89" s="119"/>
      <c r="B89" s="202"/>
      <c r="C89" s="196"/>
      <c r="D89" s="197"/>
      <c r="E89" s="179"/>
      <c r="F89" s="179"/>
      <c r="G89" s="179"/>
      <c r="H89" s="179"/>
      <c r="I89" s="179"/>
      <c r="J89" s="201"/>
      <c r="K89" s="199"/>
      <c r="L89" s="182"/>
      <c r="M89" s="183"/>
      <c r="N89" s="119"/>
    </row>
    <row r="90">
      <c r="A90" s="119"/>
      <c r="B90" s="202"/>
      <c r="C90" s="196"/>
      <c r="D90" s="197"/>
      <c r="E90" s="179"/>
      <c r="F90" s="179"/>
      <c r="G90" s="179"/>
      <c r="H90" s="179"/>
      <c r="I90" s="179"/>
      <c r="J90" s="201"/>
      <c r="K90" s="199"/>
      <c r="L90" s="182"/>
      <c r="M90" s="183"/>
      <c r="N90" s="119"/>
    </row>
    <row r="91">
      <c r="A91" s="119"/>
      <c r="B91" s="202"/>
      <c r="C91" s="196"/>
      <c r="D91" s="197"/>
      <c r="E91" s="179"/>
      <c r="F91" s="179"/>
      <c r="G91" s="179"/>
      <c r="H91" s="179"/>
      <c r="I91" s="179"/>
      <c r="J91" s="201"/>
      <c r="K91" s="199"/>
      <c r="L91" s="182"/>
      <c r="M91" s="183"/>
      <c r="N91" s="119"/>
    </row>
    <row r="92">
      <c r="A92" s="119"/>
      <c r="B92" s="202"/>
      <c r="C92" s="196"/>
      <c r="D92" s="197"/>
      <c r="E92" s="179"/>
      <c r="F92" s="179"/>
      <c r="G92" s="179"/>
      <c r="H92" s="179"/>
      <c r="I92" s="179"/>
      <c r="J92" s="201"/>
      <c r="K92" s="199"/>
      <c r="L92" s="182"/>
      <c r="M92" s="183"/>
      <c r="N92" s="119"/>
    </row>
    <row r="93">
      <c r="A93" s="119"/>
      <c r="B93" s="202"/>
      <c r="C93" s="196"/>
      <c r="D93" s="197"/>
      <c r="E93" s="179"/>
      <c r="F93" s="179"/>
      <c r="G93" s="179"/>
      <c r="H93" s="179"/>
      <c r="I93" s="179"/>
      <c r="J93" s="201"/>
      <c r="K93" s="199"/>
      <c r="L93" s="182"/>
      <c r="M93" s="183"/>
      <c r="N93" s="119"/>
    </row>
    <row r="94">
      <c r="A94" s="119"/>
      <c r="B94" s="202"/>
      <c r="C94" s="196"/>
      <c r="D94" s="197"/>
      <c r="E94" s="179"/>
      <c r="F94" s="179"/>
      <c r="G94" s="179"/>
      <c r="H94" s="179"/>
      <c r="I94" s="179"/>
      <c r="J94" s="201"/>
      <c r="K94" s="199"/>
      <c r="L94" s="182"/>
      <c r="M94" s="183"/>
      <c r="N94" s="119"/>
    </row>
    <row r="95">
      <c r="A95" s="119"/>
      <c r="B95" s="202"/>
      <c r="C95" s="196"/>
      <c r="D95" s="197"/>
      <c r="E95" s="179"/>
      <c r="F95" s="179"/>
      <c r="G95" s="179"/>
      <c r="H95" s="179"/>
      <c r="I95" s="179"/>
      <c r="J95" s="201"/>
      <c r="K95" s="199"/>
      <c r="L95" s="182"/>
      <c r="M95" s="183"/>
      <c r="N95" s="119"/>
    </row>
    <row r="96">
      <c r="A96" s="119"/>
      <c r="B96" s="202"/>
      <c r="C96" s="196"/>
      <c r="D96" s="197"/>
      <c r="E96" s="179"/>
      <c r="F96" s="179"/>
      <c r="G96" s="179"/>
      <c r="H96" s="179"/>
      <c r="I96" s="179"/>
      <c r="J96" s="201"/>
      <c r="K96" s="199"/>
      <c r="L96" s="182"/>
      <c r="M96" s="183"/>
      <c r="N96" s="119"/>
    </row>
    <row r="97">
      <c r="A97" s="119"/>
      <c r="B97" s="202"/>
      <c r="C97" s="196"/>
      <c r="D97" s="197"/>
      <c r="E97" s="179"/>
      <c r="F97" s="179"/>
      <c r="G97" s="179"/>
      <c r="H97" s="179"/>
      <c r="I97" s="179"/>
      <c r="J97" s="201"/>
      <c r="K97" s="199"/>
      <c r="L97" s="182"/>
      <c r="M97" s="183"/>
      <c r="N97" s="119"/>
    </row>
    <row r="98">
      <c r="A98" s="119"/>
      <c r="B98" s="202"/>
      <c r="C98" s="196"/>
      <c r="D98" s="197"/>
      <c r="E98" s="179"/>
      <c r="F98" s="179"/>
      <c r="G98" s="179"/>
      <c r="H98" s="179"/>
      <c r="I98" s="179"/>
      <c r="J98" s="201"/>
      <c r="K98" s="199"/>
      <c r="L98" s="182"/>
      <c r="M98" s="183"/>
      <c r="N98" s="119"/>
    </row>
    <row r="99">
      <c r="A99" s="119"/>
      <c r="B99" s="202"/>
      <c r="C99" s="196"/>
      <c r="D99" s="197"/>
      <c r="E99" s="179"/>
      <c r="F99" s="179"/>
      <c r="G99" s="179"/>
      <c r="H99" s="179"/>
      <c r="I99" s="179"/>
      <c r="J99" s="201"/>
      <c r="K99" s="199"/>
      <c r="L99" s="182"/>
      <c r="M99" s="183"/>
      <c r="N99" s="119"/>
    </row>
    <row r="100">
      <c r="A100" s="119"/>
      <c r="B100" s="202"/>
      <c r="C100" s="196"/>
      <c r="D100" s="197"/>
      <c r="E100" s="179"/>
      <c r="F100" s="179"/>
      <c r="G100" s="179"/>
      <c r="H100" s="179"/>
      <c r="I100" s="179"/>
      <c r="J100" s="201"/>
      <c r="K100" s="199"/>
      <c r="L100" s="182"/>
      <c r="M100" s="183"/>
      <c r="N100" s="119"/>
    </row>
    <row r="101">
      <c r="A101" s="119"/>
      <c r="B101" s="202"/>
      <c r="C101" s="196"/>
      <c r="D101" s="197"/>
      <c r="E101" s="179"/>
      <c r="F101" s="179"/>
      <c r="G101" s="179"/>
      <c r="H101" s="179"/>
      <c r="I101" s="179"/>
      <c r="J101" s="201"/>
      <c r="K101" s="199"/>
      <c r="L101" s="182"/>
      <c r="M101" s="183"/>
      <c r="N101" s="119"/>
    </row>
    <row r="102">
      <c r="A102" s="119"/>
      <c r="B102" s="202"/>
      <c r="C102" s="196"/>
      <c r="D102" s="197"/>
      <c r="E102" s="179"/>
      <c r="F102" s="179"/>
      <c r="G102" s="179"/>
      <c r="H102" s="179"/>
      <c r="I102" s="179"/>
      <c r="J102" s="201"/>
      <c r="K102" s="199"/>
      <c r="L102" s="182"/>
      <c r="M102" s="183"/>
      <c r="N102" s="119"/>
    </row>
    <row r="103">
      <c r="A103" s="119"/>
      <c r="B103" s="202"/>
      <c r="C103" s="196"/>
      <c r="D103" s="197"/>
      <c r="E103" s="179"/>
      <c r="F103" s="179"/>
      <c r="G103" s="179"/>
      <c r="H103" s="179"/>
      <c r="I103" s="179"/>
      <c r="J103" s="201"/>
      <c r="K103" s="199"/>
      <c r="L103" s="182"/>
      <c r="M103" s="183"/>
      <c r="N103" s="119"/>
    </row>
    <row r="104">
      <c r="A104" s="119"/>
      <c r="B104" s="202"/>
      <c r="C104" s="196"/>
      <c r="D104" s="197"/>
      <c r="E104" s="179"/>
      <c r="F104" s="179"/>
      <c r="G104" s="179"/>
      <c r="H104" s="179"/>
      <c r="I104" s="179"/>
      <c r="J104" s="201"/>
      <c r="K104" s="199"/>
      <c r="L104" s="182"/>
      <c r="M104" s="183"/>
      <c r="N104" s="119"/>
    </row>
    <row r="105">
      <c r="A105" s="119"/>
      <c r="B105" s="202"/>
      <c r="C105" s="196"/>
      <c r="D105" s="197"/>
      <c r="E105" s="179"/>
      <c r="F105" s="179"/>
      <c r="G105" s="179"/>
      <c r="H105" s="179"/>
      <c r="I105" s="179"/>
      <c r="J105" s="201"/>
      <c r="K105" s="199"/>
      <c r="L105" s="182"/>
      <c r="M105" s="183"/>
      <c r="N105" s="119"/>
    </row>
    <row r="106">
      <c r="A106" s="119"/>
      <c r="B106" s="202"/>
      <c r="C106" s="196"/>
      <c r="D106" s="197"/>
      <c r="E106" s="179"/>
      <c r="F106" s="179"/>
      <c r="G106" s="179"/>
      <c r="H106" s="179"/>
      <c r="I106" s="179"/>
      <c r="J106" s="201"/>
      <c r="K106" s="199"/>
      <c r="L106" s="182"/>
      <c r="M106" s="183"/>
      <c r="N106" s="119"/>
    </row>
    <row r="107">
      <c r="A107" s="119"/>
      <c r="B107" s="202"/>
      <c r="C107" s="196"/>
      <c r="D107" s="197"/>
      <c r="E107" s="179"/>
      <c r="F107" s="179"/>
      <c r="G107" s="179"/>
      <c r="H107" s="179"/>
      <c r="I107" s="179"/>
      <c r="J107" s="201"/>
      <c r="K107" s="199"/>
      <c r="L107" s="182"/>
      <c r="M107" s="183"/>
      <c r="N107" s="119"/>
    </row>
    <row r="108">
      <c r="A108" s="119"/>
      <c r="B108" s="202"/>
      <c r="C108" s="196"/>
      <c r="D108" s="197"/>
      <c r="E108" s="179"/>
      <c r="F108" s="179"/>
      <c r="G108" s="179"/>
      <c r="H108" s="179"/>
      <c r="I108" s="179"/>
      <c r="J108" s="201"/>
      <c r="K108" s="199"/>
      <c r="L108" s="182"/>
      <c r="M108" s="183"/>
      <c r="N108" s="119"/>
    </row>
    <row r="109">
      <c r="A109" s="119"/>
      <c r="B109" s="202"/>
      <c r="C109" s="196"/>
      <c r="D109" s="197"/>
      <c r="E109" s="179"/>
      <c r="F109" s="179"/>
      <c r="G109" s="179"/>
      <c r="H109" s="179"/>
      <c r="I109" s="179"/>
      <c r="J109" s="201"/>
      <c r="K109" s="199"/>
      <c r="L109" s="182"/>
      <c r="M109" s="183"/>
      <c r="N109" s="119"/>
    </row>
    <row r="110">
      <c r="A110" s="119"/>
      <c r="B110" s="202"/>
      <c r="C110" s="196"/>
      <c r="D110" s="197"/>
      <c r="E110" s="179"/>
      <c r="F110" s="179"/>
      <c r="G110" s="179"/>
      <c r="H110" s="179"/>
      <c r="I110" s="179"/>
      <c r="J110" s="201"/>
      <c r="K110" s="199"/>
      <c r="L110" s="182"/>
      <c r="M110" s="183"/>
      <c r="N110" s="119"/>
    </row>
    <row r="111">
      <c r="A111" s="119"/>
      <c r="B111" s="202"/>
      <c r="C111" s="196"/>
      <c r="D111" s="197"/>
      <c r="E111" s="179"/>
      <c r="F111" s="179"/>
      <c r="G111" s="179"/>
      <c r="H111" s="179"/>
      <c r="I111" s="179"/>
      <c r="J111" s="201"/>
      <c r="K111" s="199"/>
      <c r="L111" s="182"/>
      <c r="M111" s="183"/>
      <c r="N111" s="119"/>
    </row>
    <row r="112">
      <c r="A112" s="119"/>
      <c r="B112" s="202"/>
      <c r="C112" s="196"/>
      <c r="D112" s="197"/>
      <c r="E112" s="179"/>
      <c r="F112" s="179"/>
      <c r="G112" s="179"/>
      <c r="H112" s="179"/>
      <c r="I112" s="179"/>
      <c r="J112" s="201"/>
      <c r="K112" s="199"/>
      <c r="L112" s="182"/>
      <c r="M112" s="183"/>
      <c r="N112" s="119"/>
    </row>
    <row r="113">
      <c r="A113" s="119"/>
      <c r="B113" s="202"/>
      <c r="C113" s="196"/>
      <c r="D113" s="197"/>
      <c r="E113" s="179"/>
      <c r="F113" s="179"/>
      <c r="G113" s="179"/>
      <c r="H113" s="179"/>
      <c r="I113" s="179"/>
      <c r="J113" s="201"/>
      <c r="K113" s="199"/>
      <c r="L113" s="182"/>
      <c r="M113" s="183"/>
      <c r="N113" s="119"/>
    </row>
    <row r="114">
      <c r="A114" s="119"/>
      <c r="B114" s="202"/>
      <c r="C114" s="196"/>
      <c r="D114" s="197"/>
      <c r="E114" s="179"/>
      <c r="F114" s="179"/>
      <c r="G114" s="179"/>
      <c r="H114" s="179"/>
      <c r="I114" s="179"/>
      <c r="J114" s="201"/>
      <c r="K114" s="199"/>
      <c r="L114" s="182"/>
      <c r="M114" s="183"/>
      <c r="N114" s="119"/>
    </row>
    <row r="115">
      <c r="A115" s="119"/>
      <c r="B115" s="202"/>
      <c r="C115" s="196"/>
      <c r="D115" s="197"/>
      <c r="E115" s="179"/>
      <c r="F115" s="179"/>
      <c r="G115" s="179"/>
      <c r="H115" s="179"/>
      <c r="I115" s="179"/>
      <c r="J115" s="201"/>
      <c r="K115" s="199"/>
      <c r="L115" s="182"/>
      <c r="M115" s="183"/>
      <c r="N115" s="119"/>
    </row>
    <row r="116">
      <c r="A116" s="119"/>
      <c r="B116" s="202"/>
      <c r="C116" s="196"/>
      <c r="D116" s="197"/>
      <c r="E116" s="179"/>
      <c r="F116" s="179"/>
      <c r="G116" s="179"/>
      <c r="H116" s="179"/>
      <c r="I116" s="179"/>
      <c r="J116" s="201"/>
      <c r="K116" s="199"/>
      <c r="L116" s="182"/>
      <c r="M116" s="183"/>
      <c r="N116" s="119"/>
    </row>
    <row r="117">
      <c r="A117" s="119"/>
      <c r="B117" s="202"/>
      <c r="C117" s="196"/>
      <c r="D117" s="197"/>
      <c r="E117" s="179"/>
      <c r="F117" s="179"/>
      <c r="G117" s="179"/>
      <c r="H117" s="179"/>
      <c r="I117" s="179"/>
      <c r="J117" s="201"/>
      <c r="K117" s="199"/>
      <c r="L117" s="182"/>
      <c r="M117" s="183"/>
      <c r="N117" s="119"/>
    </row>
    <row r="118">
      <c r="A118" s="119"/>
      <c r="B118" s="202"/>
      <c r="C118" s="196"/>
      <c r="D118" s="197"/>
      <c r="E118" s="179"/>
      <c r="F118" s="179"/>
      <c r="G118" s="179"/>
      <c r="H118" s="179"/>
      <c r="I118" s="179"/>
      <c r="J118" s="201"/>
      <c r="K118" s="199"/>
      <c r="L118" s="182"/>
      <c r="M118" s="183"/>
      <c r="N118" s="119"/>
    </row>
    <row r="119">
      <c r="A119" s="119"/>
      <c r="B119" s="202"/>
      <c r="C119" s="196"/>
      <c r="D119" s="197"/>
      <c r="E119" s="179"/>
      <c r="F119" s="179"/>
      <c r="G119" s="179"/>
      <c r="H119" s="179"/>
      <c r="I119" s="179"/>
      <c r="J119" s="201"/>
      <c r="K119" s="199"/>
      <c r="L119" s="182"/>
      <c r="M119" s="183"/>
      <c r="N119" s="119"/>
    </row>
    <row r="120">
      <c r="A120" s="119"/>
      <c r="B120" s="202"/>
      <c r="C120" s="196"/>
      <c r="D120" s="197"/>
      <c r="E120" s="179"/>
      <c r="F120" s="179"/>
      <c r="G120" s="179"/>
      <c r="H120" s="179"/>
      <c r="I120" s="179"/>
      <c r="J120" s="201"/>
      <c r="K120" s="199"/>
      <c r="L120" s="182"/>
      <c r="M120" s="183"/>
      <c r="N120" s="119"/>
    </row>
    <row r="121">
      <c r="A121" s="119"/>
      <c r="B121" s="202"/>
      <c r="C121" s="196"/>
      <c r="D121" s="197"/>
      <c r="E121" s="179"/>
      <c r="F121" s="179"/>
      <c r="G121" s="179"/>
      <c r="H121" s="179"/>
      <c r="I121" s="179"/>
      <c r="J121" s="201"/>
      <c r="K121" s="199"/>
      <c r="L121" s="182"/>
      <c r="M121" s="183"/>
      <c r="N121" s="119"/>
    </row>
    <row r="122">
      <c r="A122" s="119"/>
      <c r="B122" s="202"/>
      <c r="C122" s="196"/>
      <c r="D122" s="197"/>
      <c r="E122" s="179"/>
      <c r="F122" s="179"/>
      <c r="G122" s="179"/>
      <c r="H122" s="179"/>
      <c r="I122" s="179"/>
      <c r="J122" s="201"/>
      <c r="K122" s="199"/>
      <c r="L122" s="182"/>
      <c r="M122" s="183"/>
      <c r="N122" s="119"/>
    </row>
    <row r="123">
      <c r="A123" s="119"/>
      <c r="B123" s="202"/>
      <c r="C123" s="196"/>
      <c r="D123" s="197"/>
      <c r="E123" s="179"/>
      <c r="F123" s="179"/>
      <c r="G123" s="179"/>
      <c r="H123" s="179"/>
      <c r="I123" s="179"/>
      <c r="J123" s="201"/>
      <c r="K123" s="199"/>
      <c r="L123" s="182"/>
      <c r="M123" s="183"/>
      <c r="N123" s="119"/>
    </row>
    <row r="124">
      <c r="A124" s="119"/>
      <c r="B124" s="202"/>
      <c r="C124" s="196"/>
      <c r="D124" s="197"/>
      <c r="E124" s="179"/>
      <c r="F124" s="179"/>
      <c r="G124" s="179"/>
      <c r="H124" s="179"/>
      <c r="I124" s="179"/>
      <c r="J124" s="201"/>
      <c r="K124" s="199"/>
      <c r="L124" s="182"/>
      <c r="M124" s="183"/>
      <c r="N124" s="119"/>
    </row>
    <row r="125">
      <c r="A125" s="119"/>
      <c r="B125" s="202"/>
      <c r="C125" s="196"/>
      <c r="D125" s="197"/>
      <c r="E125" s="179"/>
      <c r="F125" s="179"/>
      <c r="G125" s="179"/>
      <c r="H125" s="179"/>
      <c r="I125" s="179"/>
      <c r="J125" s="201"/>
      <c r="K125" s="199"/>
      <c r="L125" s="182"/>
      <c r="M125" s="183"/>
      <c r="N125" s="119"/>
    </row>
    <row r="126">
      <c r="A126" s="119"/>
      <c r="B126" s="202"/>
      <c r="C126" s="196"/>
      <c r="D126" s="197"/>
      <c r="E126" s="179"/>
      <c r="F126" s="179"/>
      <c r="G126" s="179"/>
      <c r="H126" s="179"/>
      <c r="I126" s="179"/>
      <c r="J126" s="201"/>
      <c r="K126" s="199"/>
      <c r="L126" s="182"/>
      <c r="M126" s="183"/>
      <c r="N126" s="119"/>
    </row>
    <row r="127">
      <c r="A127" s="119"/>
      <c r="B127" s="202"/>
      <c r="C127" s="196"/>
      <c r="D127" s="197"/>
      <c r="E127" s="179"/>
      <c r="F127" s="179"/>
      <c r="G127" s="179"/>
      <c r="H127" s="179"/>
      <c r="I127" s="179"/>
      <c r="J127" s="201"/>
      <c r="K127" s="199"/>
      <c r="L127" s="182"/>
      <c r="M127" s="183"/>
      <c r="N127" s="119"/>
    </row>
    <row r="128">
      <c r="A128" s="119"/>
      <c r="B128" s="202"/>
      <c r="C128" s="196"/>
      <c r="D128" s="197"/>
      <c r="E128" s="179"/>
      <c r="F128" s="179"/>
      <c r="G128" s="179"/>
      <c r="H128" s="179"/>
      <c r="I128" s="179"/>
      <c r="J128" s="201"/>
      <c r="K128" s="199"/>
      <c r="L128" s="182"/>
      <c r="M128" s="183"/>
      <c r="N128" s="119"/>
    </row>
    <row r="129">
      <c r="A129" s="119"/>
      <c r="B129" s="202"/>
      <c r="C129" s="196"/>
      <c r="D129" s="197"/>
      <c r="E129" s="179"/>
      <c r="F129" s="179"/>
      <c r="G129" s="179"/>
      <c r="H129" s="179"/>
      <c r="I129" s="179"/>
      <c r="J129" s="201"/>
      <c r="K129" s="199"/>
      <c r="L129" s="182"/>
      <c r="M129" s="183"/>
      <c r="N129" s="119"/>
    </row>
    <row r="130">
      <c r="A130" s="119"/>
      <c r="B130" s="202"/>
      <c r="C130" s="196"/>
      <c r="D130" s="197"/>
      <c r="E130" s="179"/>
      <c r="F130" s="179"/>
      <c r="G130" s="179"/>
      <c r="H130" s="179"/>
      <c r="I130" s="179"/>
      <c r="J130" s="201"/>
      <c r="K130" s="199"/>
      <c r="L130" s="182"/>
      <c r="M130" s="183"/>
      <c r="N130" s="119"/>
    </row>
    <row r="131">
      <c r="A131" s="119"/>
      <c r="B131" s="202"/>
      <c r="C131" s="196"/>
      <c r="D131" s="197"/>
      <c r="E131" s="179"/>
      <c r="F131" s="179"/>
      <c r="G131" s="179"/>
      <c r="H131" s="179"/>
      <c r="I131" s="179"/>
      <c r="J131" s="201"/>
      <c r="K131" s="199"/>
      <c r="L131" s="182"/>
      <c r="M131" s="183"/>
      <c r="N131" s="119"/>
    </row>
    <row r="132">
      <c r="A132" s="119"/>
      <c r="B132" s="202"/>
      <c r="C132" s="196"/>
      <c r="D132" s="197"/>
      <c r="E132" s="179"/>
      <c r="F132" s="179"/>
      <c r="G132" s="179"/>
      <c r="H132" s="179"/>
      <c r="I132" s="179"/>
      <c r="J132" s="201"/>
      <c r="K132" s="199"/>
      <c r="L132" s="182"/>
      <c r="M132" s="183"/>
      <c r="N132" s="119"/>
    </row>
    <row r="133">
      <c r="A133" s="119"/>
      <c r="B133" s="202"/>
      <c r="C133" s="196"/>
      <c r="D133" s="197"/>
      <c r="E133" s="179"/>
      <c r="F133" s="179"/>
      <c r="G133" s="179"/>
      <c r="H133" s="179"/>
      <c r="I133" s="179"/>
      <c r="J133" s="201"/>
      <c r="K133" s="199"/>
      <c r="L133" s="182"/>
      <c r="M133" s="183"/>
      <c r="N133" s="119"/>
    </row>
    <row r="134">
      <c r="A134" s="119"/>
      <c r="B134" s="202"/>
      <c r="C134" s="196"/>
      <c r="D134" s="197"/>
      <c r="E134" s="179"/>
      <c r="F134" s="179"/>
      <c r="G134" s="179"/>
      <c r="H134" s="179"/>
      <c r="I134" s="179"/>
      <c r="J134" s="201"/>
      <c r="K134" s="199"/>
      <c r="L134" s="182"/>
      <c r="M134" s="183"/>
      <c r="N134" s="119"/>
    </row>
    <row r="135">
      <c r="A135" s="119"/>
      <c r="B135" s="202"/>
      <c r="C135" s="196"/>
      <c r="D135" s="197"/>
      <c r="E135" s="179"/>
      <c r="F135" s="179"/>
      <c r="G135" s="179"/>
      <c r="H135" s="179"/>
      <c r="I135" s="179"/>
      <c r="J135" s="201"/>
      <c r="K135" s="199"/>
      <c r="L135" s="182"/>
      <c r="M135" s="183"/>
      <c r="N135" s="119"/>
    </row>
    <row r="136">
      <c r="A136" s="119"/>
      <c r="B136" s="202"/>
      <c r="C136" s="196"/>
      <c r="D136" s="197"/>
      <c r="E136" s="179"/>
      <c r="F136" s="179"/>
      <c r="G136" s="179"/>
      <c r="H136" s="179"/>
      <c r="I136" s="179"/>
      <c r="J136" s="201"/>
      <c r="K136" s="199"/>
      <c r="L136" s="182"/>
      <c r="M136" s="183"/>
      <c r="N136" s="119"/>
    </row>
    <row r="137">
      <c r="A137" s="119"/>
      <c r="B137" s="202"/>
      <c r="C137" s="196"/>
      <c r="D137" s="197"/>
      <c r="E137" s="179"/>
      <c r="F137" s="179"/>
      <c r="G137" s="179"/>
      <c r="H137" s="179"/>
      <c r="I137" s="179"/>
      <c r="J137" s="201"/>
      <c r="K137" s="199"/>
      <c r="L137" s="182"/>
      <c r="M137" s="183"/>
      <c r="N137" s="119"/>
    </row>
    <row r="138">
      <c r="A138" s="119"/>
      <c r="B138" s="202"/>
      <c r="C138" s="196"/>
      <c r="D138" s="197"/>
      <c r="E138" s="179"/>
      <c r="F138" s="179"/>
      <c r="G138" s="179"/>
      <c r="H138" s="179"/>
      <c r="I138" s="179"/>
      <c r="J138" s="201"/>
      <c r="K138" s="199"/>
      <c r="L138" s="182"/>
      <c r="M138" s="183"/>
      <c r="N138" s="119"/>
    </row>
    <row r="139">
      <c r="A139" s="119"/>
      <c r="B139" s="202"/>
      <c r="C139" s="196"/>
      <c r="D139" s="197"/>
      <c r="E139" s="179"/>
      <c r="F139" s="179"/>
      <c r="G139" s="179"/>
      <c r="H139" s="179"/>
      <c r="I139" s="179"/>
      <c r="J139" s="201"/>
      <c r="K139" s="199"/>
      <c r="L139" s="182"/>
      <c r="M139" s="183"/>
      <c r="N139" s="119"/>
    </row>
    <row r="140">
      <c r="A140" s="119"/>
      <c r="B140" s="202"/>
      <c r="C140" s="196"/>
      <c r="D140" s="197"/>
      <c r="E140" s="179"/>
      <c r="F140" s="179"/>
      <c r="G140" s="179"/>
      <c r="H140" s="179"/>
      <c r="I140" s="179"/>
      <c r="J140" s="201"/>
      <c r="K140" s="199"/>
      <c r="L140" s="182"/>
      <c r="M140" s="183"/>
      <c r="N140" s="119"/>
    </row>
    <row r="141">
      <c r="A141" s="119"/>
      <c r="B141" s="202"/>
      <c r="C141" s="196"/>
      <c r="D141" s="197"/>
      <c r="E141" s="179"/>
      <c r="F141" s="179"/>
      <c r="G141" s="179"/>
      <c r="H141" s="179"/>
      <c r="I141" s="179"/>
      <c r="J141" s="201"/>
      <c r="K141" s="199"/>
      <c r="L141" s="182"/>
      <c r="M141" s="183"/>
      <c r="N141" s="119"/>
    </row>
    <row r="142">
      <c r="A142" s="119"/>
      <c r="B142" s="202"/>
      <c r="C142" s="196"/>
      <c r="D142" s="197"/>
      <c r="E142" s="179"/>
      <c r="F142" s="179"/>
      <c r="G142" s="179"/>
      <c r="H142" s="179"/>
      <c r="I142" s="179"/>
      <c r="J142" s="201"/>
      <c r="K142" s="199"/>
      <c r="L142" s="182"/>
      <c r="M142" s="183"/>
      <c r="N142" s="119"/>
    </row>
    <row r="143">
      <c r="A143" s="119"/>
      <c r="B143" s="202"/>
      <c r="C143" s="196"/>
      <c r="D143" s="197"/>
      <c r="E143" s="179"/>
      <c r="F143" s="179"/>
      <c r="G143" s="179"/>
      <c r="H143" s="179"/>
      <c r="I143" s="179"/>
      <c r="J143" s="201"/>
      <c r="K143" s="199"/>
      <c r="L143" s="182"/>
      <c r="M143" s="183"/>
      <c r="N143" s="119"/>
    </row>
    <row r="144">
      <c r="A144" s="119"/>
      <c r="B144" s="202"/>
      <c r="C144" s="196"/>
      <c r="D144" s="197"/>
      <c r="E144" s="179"/>
      <c r="F144" s="179"/>
      <c r="G144" s="179"/>
      <c r="H144" s="179"/>
      <c r="I144" s="179"/>
      <c r="J144" s="201"/>
      <c r="K144" s="199"/>
      <c r="L144" s="182"/>
      <c r="M144" s="183"/>
      <c r="N144" s="119"/>
    </row>
    <row r="145">
      <c r="A145" s="119"/>
      <c r="B145" s="202"/>
      <c r="C145" s="196"/>
      <c r="D145" s="197"/>
      <c r="E145" s="179"/>
      <c r="F145" s="179"/>
      <c r="G145" s="179"/>
      <c r="H145" s="179"/>
      <c r="I145" s="179"/>
      <c r="J145" s="201"/>
      <c r="K145" s="199"/>
      <c r="L145" s="182"/>
      <c r="M145" s="183"/>
      <c r="N145" s="119"/>
    </row>
    <row r="146">
      <c r="A146" s="119"/>
      <c r="B146" s="202"/>
      <c r="C146" s="196"/>
      <c r="D146" s="197"/>
      <c r="E146" s="179"/>
      <c r="F146" s="179"/>
      <c r="G146" s="179"/>
      <c r="H146" s="179"/>
      <c r="I146" s="179"/>
      <c r="J146" s="201"/>
      <c r="K146" s="199"/>
      <c r="L146" s="182"/>
      <c r="M146" s="183"/>
      <c r="N146" s="119"/>
    </row>
    <row r="147">
      <c r="A147" s="119"/>
      <c r="B147" s="202"/>
      <c r="C147" s="196"/>
      <c r="D147" s="197"/>
      <c r="E147" s="179"/>
      <c r="F147" s="179"/>
      <c r="G147" s="179"/>
      <c r="H147" s="179"/>
      <c r="I147" s="179"/>
      <c r="J147" s="201"/>
      <c r="K147" s="199"/>
      <c r="L147" s="182"/>
      <c r="M147" s="183"/>
      <c r="N147" s="119"/>
    </row>
    <row r="148">
      <c r="A148" s="119"/>
      <c r="B148" s="202"/>
      <c r="C148" s="196"/>
      <c r="D148" s="197"/>
      <c r="E148" s="179"/>
      <c r="F148" s="179"/>
      <c r="G148" s="179"/>
      <c r="H148" s="179"/>
      <c r="I148" s="179"/>
      <c r="J148" s="201"/>
      <c r="K148" s="199"/>
      <c r="L148" s="182"/>
      <c r="M148" s="183"/>
      <c r="N148" s="119"/>
    </row>
    <row r="149">
      <c r="A149" s="119"/>
      <c r="B149" s="202"/>
      <c r="C149" s="196"/>
      <c r="D149" s="197"/>
      <c r="E149" s="179"/>
      <c r="F149" s="179"/>
      <c r="G149" s="179"/>
      <c r="H149" s="179"/>
      <c r="I149" s="179"/>
      <c r="J149" s="201"/>
      <c r="K149" s="199"/>
      <c r="L149" s="182"/>
      <c r="M149" s="183"/>
      <c r="N149" s="119"/>
    </row>
    <row r="150">
      <c r="A150" s="119"/>
      <c r="B150" s="202"/>
      <c r="C150" s="196"/>
      <c r="D150" s="197"/>
      <c r="E150" s="179"/>
      <c r="F150" s="179"/>
      <c r="G150" s="179"/>
      <c r="H150" s="179"/>
      <c r="I150" s="179"/>
      <c r="J150" s="201"/>
      <c r="K150" s="199"/>
      <c r="L150" s="182"/>
      <c r="M150" s="183"/>
      <c r="N150" s="119"/>
    </row>
    <row r="151">
      <c r="A151" s="119"/>
      <c r="B151" s="202"/>
      <c r="C151" s="196"/>
      <c r="D151" s="197"/>
      <c r="E151" s="179"/>
      <c r="F151" s="179"/>
      <c r="G151" s="179"/>
      <c r="H151" s="179"/>
      <c r="I151" s="179"/>
      <c r="J151" s="201"/>
      <c r="K151" s="199"/>
      <c r="L151" s="182"/>
      <c r="M151" s="183"/>
      <c r="N151" s="119"/>
    </row>
    <row r="152">
      <c r="A152" s="119"/>
      <c r="B152" s="202"/>
      <c r="C152" s="196"/>
      <c r="D152" s="197"/>
      <c r="E152" s="179"/>
      <c r="F152" s="179"/>
      <c r="G152" s="179"/>
      <c r="H152" s="179"/>
      <c r="I152" s="179"/>
      <c r="J152" s="201"/>
      <c r="K152" s="199"/>
      <c r="L152" s="182"/>
      <c r="M152" s="183"/>
      <c r="N152" s="119"/>
    </row>
    <row r="153">
      <c r="A153" s="119"/>
      <c r="B153" s="202"/>
      <c r="C153" s="196"/>
      <c r="D153" s="197"/>
      <c r="E153" s="179"/>
      <c r="F153" s="179"/>
      <c r="G153" s="179"/>
      <c r="H153" s="179"/>
      <c r="I153" s="179"/>
      <c r="J153" s="201"/>
      <c r="K153" s="199"/>
      <c r="L153" s="182"/>
      <c r="M153" s="183"/>
      <c r="N153" s="119"/>
    </row>
    <row r="154">
      <c r="A154" s="119"/>
      <c r="B154" s="202"/>
      <c r="C154" s="196"/>
      <c r="D154" s="197"/>
      <c r="E154" s="179"/>
      <c r="F154" s="179"/>
      <c r="G154" s="179"/>
      <c r="H154" s="179"/>
      <c r="I154" s="179"/>
      <c r="J154" s="201"/>
      <c r="K154" s="199"/>
      <c r="L154" s="182"/>
      <c r="M154" s="183"/>
      <c r="N154" s="119"/>
    </row>
    <row r="155">
      <c r="A155" s="119"/>
      <c r="B155" s="202"/>
      <c r="C155" s="196"/>
      <c r="D155" s="197"/>
      <c r="E155" s="179"/>
      <c r="F155" s="179"/>
      <c r="G155" s="179"/>
      <c r="H155" s="179"/>
      <c r="I155" s="179"/>
      <c r="J155" s="201"/>
      <c r="K155" s="199"/>
      <c r="L155" s="182"/>
      <c r="M155" s="183"/>
      <c r="N155" s="119"/>
    </row>
    <row r="156">
      <c r="A156" s="119"/>
      <c r="B156" s="202"/>
      <c r="C156" s="196"/>
      <c r="D156" s="197"/>
      <c r="E156" s="179"/>
      <c r="F156" s="179"/>
      <c r="G156" s="179"/>
      <c r="H156" s="179"/>
      <c r="I156" s="179"/>
      <c r="J156" s="201"/>
      <c r="K156" s="199"/>
      <c r="L156" s="182"/>
      <c r="M156" s="183"/>
      <c r="N156" s="119"/>
    </row>
    <row r="157">
      <c r="A157" s="119"/>
      <c r="B157" s="202"/>
      <c r="C157" s="196"/>
      <c r="D157" s="197"/>
      <c r="E157" s="179"/>
      <c r="F157" s="179"/>
      <c r="G157" s="179"/>
      <c r="H157" s="179"/>
      <c r="I157" s="179"/>
      <c r="J157" s="201"/>
      <c r="K157" s="199"/>
      <c r="L157" s="182"/>
      <c r="M157" s="183"/>
      <c r="N157" s="119"/>
    </row>
    <row r="158">
      <c r="A158" s="119"/>
      <c r="B158" s="202"/>
      <c r="C158" s="196"/>
      <c r="D158" s="197"/>
      <c r="E158" s="179"/>
      <c r="F158" s="179"/>
      <c r="G158" s="179"/>
      <c r="H158" s="179"/>
      <c r="I158" s="179"/>
      <c r="J158" s="201"/>
      <c r="K158" s="199"/>
      <c r="L158" s="182"/>
      <c r="M158" s="183"/>
      <c r="N158" s="119"/>
    </row>
    <row r="159">
      <c r="A159" s="119"/>
      <c r="B159" s="202"/>
      <c r="C159" s="196"/>
      <c r="D159" s="197"/>
      <c r="E159" s="179"/>
      <c r="F159" s="179"/>
      <c r="G159" s="179"/>
      <c r="H159" s="179"/>
      <c r="I159" s="179"/>
      <c r="J159" s="201"/>
      <c r="K159" s="199"/>
      <c r="L159" s="182"/>
      <c r="M159" s="183"/>
      <c r="N159" s="119"/>
    </row>
    <row r="160">
      <c r="A160" s="119"/>
      <c r="B160" s="202"/>
      <c r="C160" s="196"/>
      <c r="D160" s="197"/>
      <c r="E160" s="179"/>
      <c r="F160" s="179"/>
      <c r="G160" s="179"/>
      <c r="H160" s="179"/>
      <c r="I160" s="179"/>
      <c r="J160" s="201"/>
      <c r="K160" s="199"/>
      <c r="L160" s="182"/>
      <c r="M160" s="183"/>
      <c r="N160" s="119"/>
    </row>
    <row r="161">
      <c r="A161" s="119"/>
      <c r="B161" s="202"/>
      <c r="C161" s="196"/>
      <c r="D161" s="197"/>
      <c r="E161" s="179"/>
      <c r="F161" s="179"/>
      <c r="G161" s="179"/>
      <c r="H161" s="179"/>
      <c r="I161" s="179"/>
      <c r="J161" s="201"/>
      <c r="K161" s="199"/>
      <c r="L161" s="182"/>
      <c r="M161" s="183"/>
      <c r="N161" s="119"/>
    </row>
    <row r="162">
      <c r="A162" s="119"/>
      <c r="B162" s="202"/>
      <c r="C162" s="196"/>
      <c r="D162" s="197"/>
      <c r="E162" s="179"/>
      <c r="F162" s="179"/>
      <c r="G162" s="179"/>
      <c r="H162" s="179"/>
      <c r="I162" s="179"/>
      <c r="J162" s="201"/>
      <c r="K162" s="199"/>
      <c r="L162" s="182"/>
      <c r="M162" s="183"/>
      <c r="N162" s="119"/>
    </row>
    <row r="163">
      <c r="A163" s="119"/>
      <c r="B163" s="202"/>
      <c r="C163" s="196"/>
      <c r="D163" s="197"/>
      <c r="E163" s="179"/>
      <c r="F163" s="179"/>
      <c r="G163" s="179"/>
      <c r="H163" s="179"/>
      <c r="I163" s="179"/>
      <c r="J163" s="201"/>
      <c r="K163" s="199"/>
      <c r="L163" s="182"/>
      <c r="M163" s="183"/>
      <c r="N163" s="119"/>
    </row>
    <row r="164">
      <c r="A164" s="119"/>
      <c r="B164" s="202"/>
      <c r="C164" s="196"/>
      <c r="D164" s="197"/>
      <c r="E164" s="179"/>
      <c r="F164" s="179"/>
      <c r="G164" s="179"/>
      <c r="H164" s="179"/>
      <c r="I164" s="179"/>
      <c r="J164" s="201"/>
      <c r="K164" s="199"/>
      <c r="L164" s="182"/>
      <c r="M164" s="183"/>
      <c r="N164" s="119"/>
    </row>
    <row r="165">
      <c r="A165" s="119"/>
      <c r="B165" s="202"/>
      <c r="C165" s="196"/>
      <c r="D165" s="197"/>
      <c r="E165" s="179"/>
      <c r="F165" s="179"/>
      <c r="G165" s="179"/>
      <c r="H165" s="179"/>
      <c r="I165" s="179"/>
      <c r="J165" s="201"/>
      <c r="K165" s="199"/>
      <c r="L165" s="182"/>
      <c r="M165" s="183"/>
      <c r="N165" s="119"/>
    </row>
    <row r="166">
      <c r="A166" s="119"/>
      <c r="B166" s="202"/>
      <c r="C166" s="196"/>
      <c r="D166" s="197"/>
      <c r="E166" s="179"/>
      <c r="F166" s="179"/>
      <c r="G166" s="179"/>
      <c r="H166" s="179"/>
      <c r="I166" s="179"/>
      <c r="J166" s="201"/>
      <c r="K166" s="199"/>
      <c r="L166" s="182"/>
      <c r="M166" s="183"/>
      <c r="N166" s="119"/>
    </row>
    <row r="167">
      <c r="A167" s="119"/>
      <c r="B167" s="202"/>
      <c r="C167" s="196"/>
      <c r="D167" s="197"/>
      <c r="E167" s="179"/>
      <c r="F167" s="179"/>
      <c r="G167" s="179"/>
      <c r="H167" s="179"/>
      <c r="I167" s="179"/>
      <c r="J167" s="201"/>
      <c r="K167" s="199"/>
      <c r="L167" s="182"/>
      <c r="M167" s="183"/>
      <c r="N167" s="119"/>
    </row>
    <row r="168">
      <c r="A168" s="119"/>
      <c r="B168" s="202"/>
      <c r="C168" s="196"/>
      <c r="D168" s="197"/>
      <c r="E168" s="179"/>
      <c r="F168" s="179"/>
      <c r="G168" s="179"/>
      <c r="H168" s="179"/>
      <c r="I168" s="179"/>
      <c r="J168" s="201"/>
      <c r="K168" s="199"/>
      <c r="L168" s="182"/>
      <c r="M168" s="183"/>
      <c r="N168" s="119"/>
    </row>
    <row r="169">
      <c r="A169" s="119"/>
      <c r="B169" s="202"/>
      <c r="C169" s="196"/>
      <c r="D169" s="197"/>
      <c r="E169" s="179"/>
      <c r="F169" s="179"/>
      <c r="G169" s="179"/>
      <c r="H169" s="179"/>
      <c r="I169" s="179"/>
      <c r="J169" s="201"/>
      <c r="K169" s="199"/>
      <c r="L169" s="182"/>
      <c r="M169" s="183"/>
      <c r="N169" s="119"/>
    </row>
    <row r="170">
      <c r="A170" s="119"/>
      <c r="B170" s="202"/>
      <c r="C170" s="196"/>
      <c r="D170" s="197"/>
      <c r="E170" s="179"/>
      <c r="F170" s="179"/>
      <c r="G170" s="179"/>
      <c r="H170" s="179"/>
      <c r="I170" s="179"/>
      <c r="J170" s="201"/>
      <c r="K170" s="199"/>
      <c r="L170" s="182"/>
      <c r="M170" s="183"/>
      <c r="N170" s="119"/>
    </row>
    <row r="171">
      <c r="A171" s="119"/>
      <c r="B171" s="202"/>
      <c r="C171" s="196"/>
      <c r="D171" s="197"/>
      <c r="E171" s="179"/>
      <c r="F171" s="179"/>
      <c r="G171" s="179"/>
      <c r="H171" s="179"/>
      <c r="I171" s="179"/>
      <c r="J171" s="201"/>
      <c r="K171" s="199"/>
      <c r="L171" s="182"/>
      <c r="M171" s="183"/>
      <c r="N171" s="119"/>
    </row>
    <row r="172">
      <c r="A172" s="119"/>
      <c r="B172" s="202"/>
      <c r="C172" s="196"/>
      <c r="D172" s="197"/>
      <c r="E172" s="179"/>
      <c r="F172" s="179"/>
      <c r="G172" s="179"/>
      <c r="H172" s="179"/>
      <c r="I172" s="179"/>
      <c r="J172" s="201"/>
      <c r="K172" s="199"/>
      <c r="L172" s="182"/>
      <c r="M172" s="183"/>
      <c r="N172" s="119"/>
    </row>
    <row r="173">
      <c r="A173" s="119"/>
      <c r="B173" s="202"/>
      <c r="C173" s="196"/>
      <c r="D173" s="197"/>
      <c r="E173" s="179"/>
      <c r="F173" s="179"/>
      <c r="G173" s="179"/>
      <c r="H173" s="179"/>
      <c r="I173" s="179"/>
      <c r="J173" s="201"/>
      <c r="K173" s="199"/>
      <c r="L173" s="182"/>
      <c r="M173" s="183"/>
      <c r="N173" s="119"/>
    </row>
    <row r="174">
      <c r="A174" s="119"/>
      <c r="B174" s="202"/>
      <c r="C174" s="196"/>
      <c r="D174" s="197"/>
      <c r="E174" s="179"/>
      <c r="F174" s="179"/>
      <c r="G174" s="179"/>
      <c r="H174" s="179"/>
      <c r="I174" s="179"/>
      <c r="J174" s="201"/>
      <c r="K174" s="199"/>
      <c r="L174" s="182"/>
      <c r="M174" s="183"/>
      <c r="N174" s="119"/>
    </row>
    <row r="175">
      <c r="A175" s="119"/>
      <c r="B175" s="202"/>
      <c r="C175" s="196"/>
      <c r="D175" s="197"/>
      <c r="E175" s="179"/>
      <c r="F175" s="179"/>
      <c r="G175" s="179"/>
      <c r="H175" s="179"/>
      <c r="I175" s="179"/>
      <c r="J175" s="201"/>
      <c r="K175" s="199"/>
      <c r="L175" s="182"/>
      <c r="M175" s="183"/>
      <c r="N175" s="119"/>
    </row>
    <row r="176">
      <c r="A176" s="119"/>
      <c r="B176" s="202"/>
      <c r="C176" s="196"/>
      <c r="D176" s="197"/>
      <c r="E176" s="179"/>
      <c r="F176" s="179"/>
      <c r="G176" s="179"/>
      <c r="H176" s="179"/>
      <c r="I176" s="179"/>
      <c r="J176" s="201"/>
      <c r="K176" s="199"/>
      <c r="L176" s="182"/>
      <c r="M176" s="183"/>
      <c r="N176" s="119"/>
    </row>
    <row r="177">
      <c r="A177" s="119"/>
      <c r="B177" s="202"/>
      <c r="C177" s="196"/>
      <c r="D177" s="197"/>
      <c r="E177" s="179"/>
      <c r="F177" s="179"/>
      <c r="G177" s="179"/>
      <c r="H177" s="179"/>
      <c r="I177" s="179"/>
      <c r="J177" s="201"/>
      <c r="K177" s="199"/>
      <c r="L177" s="182"/>
      <c r="M177" s="183"/>
      <c r="N177" s="119"/>
    </row>
    <row r="178">
      <c r="A178" s="119"/>
      <c r="B178" s="202"/>
      <c r="C178" s="196"/>
      <c r="D178" s="197"/>
      <c r="E178" s="179"/>
      <c r="F178" s="179"/>
      <c r="G178" s="179"/>
      <c r="H178" s="179"/>
      <c r="I178" s="179"/>
      <c r="J178" s="201"/>
      <c r="K178" s="199"/>
      <c r="L178" s="182"/>
      <c r="M178" s="183"/>
      <c r="N178" s="119"/>
    </row>
    <row r="179">
      <c r="A179" s="119"/>
      <c r="B179" s="202"/>
      <c r="C179" s="196"/>
      <c r="D179" s="197"/>
      <c r="E179" s="179"/>
      <c r="F179" s="179"/>
      <c r="G179" s="179"/>
      <c r="H179" s="179"/>
      <c r="I179" s="179"/>
      <c r="J179" s="201"/>
      <c r="K179" s="199"/>
      <c r="L179" s="182"/>
      <c r="M179" s="183"/>
      <c r="N179" s="119"/>
    </row>
    <row r="180">
      <c r="A180" s="119"/>
      <c r="B180" s="202"/>
      <c r="C180" s="196"/>
      <c r="D180" s="197"/>
      <c r="E180" s="179"/>
      <c r="F180" s="179"/>
      <c r="G180" s="179"/>
      <c r="H180" s="179"/>
      <c r="I180" s="179"/>
      <c r="J180" s="201"/>
      <c r="K180" s="199"/>
      <c r="L180" s="182"/>
      <c r="M180" s="183"/>
      <c r="N180" s="119"/>
    </row>
    <row r="181">
      <c r="A181" s="119"/>
      <c r="B181" s="202"/>
      <c r="C181" s="196"/>
      <c r="D181" s="197"/>
      <c r="E181" s="179"/>
      <c r="F181" s="179"/>
      <c r="G181" s="179"/>
      <c r="H181" s="179"/>
      <c r="I181" s="179"/>
      <c r="J181" s="201"/>
      <c r="K181" s="199"/>
      <c r="L181" s="182"/>
      <c r="M181" s="183"/>
      <c r="N181" s="119"/>
    </row>
    <row r="182">
      <c r="A182" s="119"/>
      <c r="B182" s="202"/>
      <c r="C182" s="196"/>
      <c r="D182" s="197"/>
      <c r="E182" s="179"/>
      <c r="F182" s="179"/>
      <c r="G182" s="179"/>
      <c r="H182" s="179"/>
      <c r="I182" s="179"/>
      <c r="J182" s="201"/>
      <c r="K182" s="199"/>
      <c r="L182" s="182"/>
      <c r="M182" s="183"/>
      <c r="N182" s="119"/>
    </row>
    <row r="183">
      <c r="A183" s="119"/>
      <c r="B183" s="202"/>
      <c r="C183" s="196"/>
      <c r="D183" s="197"/>
      <c r="E183" s="179"/>
      <c r="F183" s="179"/>
      <c r="G183" s="179"/>
      <c r="H183" s="179"/>
      <c r="I183" s="179"/>
      <c r="J183" s="201"/>
      <c r="K183" s="199"/>
      <c r="L183" s="182"/>
      <c r="M183" s="183"/>
      <c r="N183" s="119"/>
    </row>
    <row r="184">
      <c r="A184" s="119"/>
      <c r="B184" s="202"/>
      <c r="C184" s="196"/>
      <c r="D184" s="197"/>
      <c r="E184" s="179"/>
      <c r="F184" s="179"/>
      <c r="G184" s="179"/>
      <c r="H184" s="179"/>
      <c r="I184" s="179"/>
      <c r="J184" s="201"/>
      <c r="K184" s="199"/>
      <c r="L184" s="182"/>
      <c r="M184" s="183"/>
      <c r="N184" s="119"/>
    </row>
    <row r="185">
      <c r="A185" s="119"/>
      <c r="B185" s="202"/>
      <c r="C185" s="196"/>
      <c r="D185" s="197"/>
      <c r="E185" s="179"/>
      <c r="F185" s="179"/>
      <c r="G185" s="179"/>
      <c r="H185" s="179"/>
      <c r="I185" s="179"/>
      <c r="J185" s="201"/>
      <c r="K185" s="199"/>
      <c r="L185" s="182"/>
      <c r="M185" s="183"/>
      <c r="N185" s="119"/>
    </row>
    <row r="186">
      <c r="A186" s="119"/>
      <c r="B186" s="202"/>
      <c r="C186" s="196"/>
      <c r="D186" s="197"/>
      <c r="E186" s="179"/>
      <c r="F186" s="179"/>
      <c r="G186" s="179"/>
      <c r="H186" s="179"/>
      <c r="I186" s="179"/>
      <c r="J186" s="201"/>
      <c r="K186" s="199"/>
      <c r="L186" s="182"/>
      <c r="M186" s="183"/>
      <c r="N186" s="119"/>
    </row>
    <row r="187">
      <c r="A187" s="119"/>
      <c r="B187" s="202"/>
      <c r="C187" s="196"/>
      <c r="D187" s="197"/>
      <c r="E187" s="179"/>
      <c r="F187" s="179"/>
      <c r="G187" s="179"/>
      <c r="H187" s="179"/>
      <c r="I187" s="179"/>
      <c r="J187" s="201"/>
      <c r="K187" s="199"/>
      <c r="L187" s="182"/>
      <c r="M187" s="183"/>
      <c r="N187" s="119"/>
    </row>
    <row r="188">
      <c r="A188" s="119"/>
      <c r="B188" s="202"/>
      <c r="C188" s="196"/>
      <c r="D188" s="197"/>
      <c r="E188" s="179"/>
      <c r="F188" s="179"/>
      <c r="G188" s="179"/>
      <c r="H188" s="179"/>
      <c r="I188" s="179"/>
      <c r="J188" s="201"/>
      <c r="K188" s="199"/>
      <c r="L188" s="182"/>
      <c r="M188" s="183"/>
      <c r="N188" s="119"/>
    </row>
    <row r="189">
      <c r="A189" s="119"/>
      <c r="B189" s="202"/>
      <c r="C189" s="196"/>
      <c r="D189" s="197"/>
      <c r="E189" s="179"/>
      <c r="F189" s="179"/>
      <c r="G189" s="179"/>
      <c r="H189" s="179"/>
      <c r="I189" s="179"/>
      <c r="J189" s="201"/>
      <c r="K189" s="199"/>
      <c r="L189" s="182"/>
      <c r="M189" s="183"/>
      <c r="N189" s="119"/>
    </row>
    <row r="190">
      <c r="A190" s="119"/>
      <c r="B190" s="202"/>
      <c r="C190" s="196"/>
      <c r="D190" s="197"/>
      <c r="E190" s="179"/>
      <c r="F190" s="179"/>
      <c r="G190" s="179"/>
      <c r="H190" s="179"/>
      <c r="I190" s="179"/>
      <c r="J190" s="201"/>
      <c r="K190" s="199"/>
      <c r="L190" s="182"/>
      <c r="M190" s="183"/>
      <c r="N190" s="119"/>
    </row>
    <row r="191">
      <c r="A191" s="119"/>
      <c r="B191" s="202"/>
      <c r="C191" s="196"/>
      <c r="D191" s="197"/>
      <c r="E191" s="179"/>
      <c r="F191" s="179"/>
      <c r="G191" s="179"/>
      <c r="H191" s="179"/>
      <c r="I191" s="179"/>
      <c r="J191" s="201"/>
      <c r="K191" s="199"/>
      <c r="L191" s="182"/>
      <c r="M191" s="183"/>
      <c r="N191" s="119"/>
    </row>
    <row r="192">
      <c r="A192" s="119"/>
      <c r="B192" s="202"/>
      <c r="C192" s="196"/>
      <c r="D192" s="197"/>
      <c r="E192" s="179"/>
      <c r="F192" s="179"/>
      <c r="G192" s="179"/>
      <c r="H192" s="179"/>
      <c r="I192" s="179"/>
      <c r="J192" s="201"/>
      <c r="K192" s="199"/>
      <c r="L192" s="182"/>
      <c r="M192" s="183"/>
      <c r="N192" s="119"/>
    </row>
    <row r="193">
      <c r="A193" s="119"/>
      <c r="B193" s="202"/>
      <c r="C193" s="196"/>
      <c r="D193" s="197"/>
      <c r="E193" s="179"/>
      <c r="F193" s="179"/>
      <c r="G193" s="179"/>
      <c r="H193" s="179"/>
      <c r="I193" s="179"/>
      <c r="J193" s="201"/>
      <c r="K193" s="199"/>
      <c r="L193" s="182"/>
      <c r="M193" s="183"/>
      <c r="N193" s="119"/>
    </row>
    <row r="194">
      <c r="A194" s="119"/>
      <c r="B194" s="202"/>
      <c r="C194" s="196"/>
      <c r="D194" s="197"/>
      <c r="E194" s="179"/>
      <c r="F194" s="179"/>
      <c r="G194" s="179"/>
      <c r="H194" s="179"/>
      <c r="I194" s="179"/>
      <c r="J194" s="201"/>
      <c r="K194" s="199"/>
      <c r="L194" s="182"/>
      <c r="M194" s="183"/>
      <c r="N194" s="119"/>
    </row>
    <row r="195">
      <c r="A195" s="119"/>
      <c r="B195" s="202"/>
      <c r="C195" s="196"/>
      <c r="D195" s="197"/>
      <c r="E195" s="179"/>
      <c r="F195" s="179"/>
      <c r="G195" s="179"/>
      <c r="H195" s="179"/>
      <c r="I195" s="179"/>
      <c r="J195" s="201"/>
      <c r="K195" s="199"/>
      <c r="L195" s="182"/>
      <c r="M195" s="183"/>
      <c r="N195" s="119"/>
    </row>
    <row r="196">
      <c r="A196" s="119"/>
      <c r="B196" s="202"/>
      <c r="C196" s="196"/>
      <c r="D196" s="197"/>
      <c r="E196" s="179"/>
      <c r="F196" s="179"/>
      <c r="G196" s="179"/>
      <c r="H196" s="179"/>
      <c r="I196" s="179"/>
      <c r="J196" s="201"/>
      <c r="K196" s="199"/>
      <c r="L196" s="182"/>
      <c r="M196" s="183"/>
      <c r="N196" s="119"/>
    </row>
    <row r="197">
      <c r="A197" s="119"/>
      <c r="B197" s="202"/>
      <c r="C197" s="196"/>
      <c r="D197" s="197"/>
      <c r="E197" s="179"/>
      <c r="F197" s="179"/>
      <c r="G197" s="179"/>
      <c r="H197" s="179"/>
      <c r="I197" s="179"/>
      <c r="J197" s="201"/>
      <c r="K197" s="199"/>
      <c r="L197" s="182"/>
      <c r="M197" s="183"/>
      <c r="N197" s="119"/>
    </row>
    <row r="198">
      <c r="A198" s="119"/>
      <c r="B198" s="202"/>
      <c r="C198" s="196"/>
      <c r="D198" s="197"/>
      <c r="E198" s="179"/>
      <c r="F198" s="179"/>
      <c r="G198" s="179"/>
      <c r="H198" s="179"/>
      <c r="I198" s="179"/>
      <c r="J198" s="201"/>
      <c r="K198" s="199"/>
      <c r="L198" s="182"/>
      <c r="M198" s="183"/>
      <c r="N198" s="119"/>
    </row>
    <row r="199">
      <c r="A199" s="119"/>
      <c r="B199" s="202"/>
      <c r="C199" s="196"/>
      <c r="D199" s="197"/>
      <c r="E199" s="179"/>
      <c r="F199" s="179"/>
      <c r="G199" s="179"/>
      <c r="H199" s="179"/>
      <c r="I199" s="179"/>
      <c r="J199" s="201"/>
      <c r="K199" s="199"/>
      <c r="L199" s="182"/>
      <c r="M199" s="183"/>
      <c r="N199" s="119"/>
    </row>
    <row r="200">
      <c r="A200" s="119"/>
      <c r="B200" s="202"/>
      <c r="C200" s="196"/>
      <c r="D200" s="197"/>
      <c r="E200" s="179"/>
      <c r="F200" s="179"/>
      <c r="G200" s="179"/>
      <c r="H200" s="179"/>
      <c r="I200" s="179"/>
      <c r="J200" s="201"/>
      <c r="K200" s="199"/>
      <c r="L200" s="182"/>
      <c r="M200" s="183"/>
      <c r="N200" s="119"/>
    </row>
    <row r="201">
      <c r="A201" s="119"/>
      <c r="B201" s="202"/>
      <c r="C201" s="196"/>
      <c r="D201" s="197"/>
      <c r="E201" s="179"/>
      <c r="F201" s="179"/>
      <c r="G201" s="179"/>
      <c r="H201" s="179"/>
      <c r="I201" s="179"/>
      <c r="J201" s="201"/>
      <c r="K201" s="199"/>
      <c r="L201" s="182"/>
      <c r="M201" s="183"/>
      <c r="N201" s="119"/>
    </row>
    <row r="202">
      <c r="A202" s="119"/>
      <c r="B202" s="202"/>
      <c r="C202" s="196"/>
      <c r="D202" s="197"/>
      <c r="E202" s="179"/>
      <c r="F202" s="179"/>
      <c r="G202" s="179"/>
      <c r="H202" s="179"/>
      <c r="I202" s="179"/>
      <c r="J202" s="201"/>
      <c r="K202" s="199"/>
      <c r="L202" s="182"/>
      <c r="M202" s="183"/>
      <c r="N202" s="119"/>
    </row>
    <row r="203">
      <c r="A203" s="119"/>
      <c r="B203" s="202"/>
      <c r="C203" s="196"/>
      <c r="D203" s="197"/>
      <c r="E203" s="179"/>
      <c r="F203" s="179"/>
      <c r="G203" s="179"/>
      <c r="H203" s="179"/>
      <c r="I203" s="179"/>
      <c r="J203" s="201"/>
      <c r="K203" s="199"/>
      <c r="L203" s="182"/>
      <c r="M203" s="183"/>
      <c r="N203" s="119"/>
    </row>
    <row r="204">
      <c r="A204" s="119"/>
      <c r="B204" s="202"/>
      <c r="C204" s="196"/>
      <c r="D204" s="197"/>
      <c r="E204" s="179"/>
      <c r="F204" s="179"/>
      <c r="G204" s="179"/>
      <c r="H204" s="179"/>
      <c r="I204" s="179"/>
      <c r="J204" s="201"/>
      <c r="K204" s="199"/>
      <c r="L204" s="182"/>
      <c r="M204" s="183"/>
      <c r="N204" s="119"/>
    </row>
    <row r="205">
      <c r="A205" s="119"/>
      <c r="B205" s="202"/>
      <c r="C205" s="196"/>
      <c r="D205" s="197"/>
      <c r="E205" s="179"/>
      <c r="F205" s="179"/>
      <c r="G205" s="179"/>
      <c r="H205" s="179"/>
      <c r="I205" s="179"/>
      <c r="J205" s="201"/>
      <c r="K205" s="199"/>
      <c r="L205" s="182"/>
      <c r="M205" s="183"/>
      <c r="N205" s="119"/>
    </row>
    <row r="206">
      <c r="A206" s="119"/>
      <c r="B206" s="202"/>
      <c r="C206" s="196"/>
      <c r="D206" s="197"/>
      <c r="E206" s="179"/>
      <c r="F206" s="179"/>
      <c r="G206" s="179"/>
      <c r="H206" s="179"/>
      <c r="I206" s="179"/>
      <c r="J206" s="201"/>
      <c r="K206" s="199"/>
      <c r="L206" s="182"/>
      <c r="M206" s="183"/>
      <c r="N206" s="119"/>
    </row>
    <row r="207">
      <c r="A207" s="119"/>
      <c r="B207" s="202"/>
      <c r="C207" s="196"/>
      <c r="D207" s="197"/>
      <c r="E207" s="179"/>
      <c r="F207" s="179"/>
      <c r="G207" s="179"/>
      <c r="H207" s="179"/>
      <c r="I207" s="179"/>
      <c r="J207" s="201"/>
      <c r="K207" s="199"/>
      <c r="L207" s="182"/>
      <c r="M207" s="183"/>
      <c r="N207" s="119"/>
    </row>
    <row r="208">
      <c r="A208" s="119"/>
      <c r="B208" s="202"/>
      <c r="C208" s="196"/>
      <c r="D208" s="197"/>
      <c r="E208" s="179"/>
      <c r="F208" s="179"/>
      <c r="G208" s="179"/>
      <c r="H208" s="179"/>
      <c r="I208" s="179"/>
      <c r="J208" s="201"/>
      <c r="K208" s="199"/>
      <c r="L208" s="182"/>
      <c r="M208" s="183"/>
      <c r="N208" s="119"/>
    </row>
    <row r="209">
      <c r="A209" s="119"/>
      <c r="B209" s="202"/>
      <c r="C209" s="196"/>
      <c r="D209" s="197"/>
      <c r="E209" s="179"/>
      <c r="F209" s="179"/>
      <c r="G209" s="179"/>
      <c r="H209" s="179"/>
      <c r="I209" s="179"/>
      <c r="J209" s="201"/>
      <c r="K209" s="199"/>
      <c r="L209" s="182"/>
      <c r="M209" s="183"/>
      <c r="N209" s="119"/>
    </row>
    <row r="210">
      <c r="A210" s="119"/>
      <c r="B210" s="202"/>
      <c r="C210" s="196"/>
      <c r="D210" s="197"/>
      <c r="E210" s="179"/>
      <c r="F210" s="179"/>
      <c r="G210" s="179"/>
      <c r="H210" s="179"/>
      <c r="I210" s="179"/>
      <c r="J210" s="201"/>
      <c r="K210" s="199"/>
      <c r="L210" s="182"/>
      <c r="M210" s="183"/>
      <c r="N210" s="119"/>
    </row>
    <row r="211">
      <c r="A211" s="119"/>
      <c r="B211" s="202"/>
      <c r="C211" s="196"/>
      <c r="D211" s="197"/>
      <c r="E211" s="179"/>
      <c r="F211" s="179"/>
      <c r="G211" s="179"/>
      <c r="H211" s="179"/>
      <c r="I211" s="179"/>
      <c r="J211" s="201"/>
      <c r="K211" s="199"/>
      <c r="L211" s="182"/>
      <c r="M211" s="183"/>
      <c r="N211" s="119"/>
    </row>
    <row r="212">
      <c r="A212" s="119"/>
      <c r="B212" s="202"/>
      <c r="C212" s="196"/>
      <c r="D212" s="197"/>
      <c r="E212" s="179"/>
      <c r="F212" s="179"/>
      <c r="G212" s="179"/>
      <c r="H212" s="179"/>
      <c r="I212" s="179"/>
      <c r="J212" s="201"/>
      <c r="K212" s="199"/>
      <c r="L212" s="182"/>
      <c r="M212" s="183"/>
      <c r="N212" s="119"/>
    </row>
    <row r="213">
      <c r="A213" s="119"/>
      <c r="B213" s="202"/>
      <c r="C213" s="196"/>
      <c r="D213" s="197"/>
      <c r="E213" s="179"/>
      <c r="F213" s="179"/>
      <c r="G213" s="179"/>
      <c r="H213" s="179"/>
      <c r="I213" s="179"/>
      <c r="J213" s="201"/>
      <c r="K213" s="199"/>
      <c r="L213" s="182"/>
      <c r="M213" s="183"/>
      <c r="N213" s="119"/>
    </row>
    <row r="214" ht="15.75" customHeight="1">
      <c r="A214" s="119"/>
      <c r="B214" s="119"/>
      <c r="C214" s="119"/>
      <c r="D214" s="119"/>
      <c r="E214" s="119"/>
      <c r="F214" s="119"/>
      <c r="G214" s="119"/>
      <c r="H214" s="119"/>
      <c r="I214" s="119"/>
      <c r="J214" s="119"/>
      <c r="K214" s="119"/>
      <c r="L214" s="119"/>
      <c r="M214" s="119"/>
      <c r="N214" s="119"/>
    </row>
  </sheetData>
  <mergeCells count="19">
    <mergeCell ref="B3:F3"/>
    <mergeCell ref="B4:F4"/>
    <mergeCell ref="B5:F5"/>
    <mergeCell ref="B6:F6"/>
    <mergeCell ref="E8:F8"/>
    <mergeCell ref="B1:M1"/>
    <mergeCell ref="B24:C24"/>
    <mergeCell ref="J24:L24"/>
    <mergeCell ref="B18:H18"/>
    <mergeCell ref="B19:H19"/>
    <mergeCell ref="B20:H20"/>
    <mergeCell ref="F24:H24"/>
    <mergeCell ref="B9:C9"/>
    <mergeCell ref="B10:C10"/>
    <mergeCell ref="B12:H12"/>
    <mergeCell ref="B13:H13"/>
    <mergeCell ref="B15:H15"/>
    <mergeCell ref="B16:H16"/>
    <mergeCell ref="B17:H17"/>
  </mergeCells>
  <conditionalFormatting sqref="J25:J27">
    <cfRule type="containsText" dxfId="0" priority="1" operator="containsText" text="Medium">
      <formula>NOT(ISERROR(SEARCH(("Medium"),(J25))))</formula>
    </cfRule>
  </conditionalFormatting>
  <conditionalFormatting sqref="J25:J27">
    <cfRule type="containsText" dxfId="1" priority="2" operator="containsText" text="High">
      <formula>NOT(ISERROR(SEARCH(("High"),(J25))))</formula>
    </cfRule>
  </conditionalFormatting>
  <conditionalFormatting sqref="B26:B28">
    <cfRule type="containsText" dxfId="2" priority="3" operator="containsText" text="Approved">
      <formula>NOT(ISERROR(SEARCH(("Approved"),(B26))))</formula>
    </cfRule>
  </conditionalFormatting>
  <conditionalFormatting sqref="B26:B28">
    <cfRule type="containsText" dxfId="3" priority="4" operator="containsText" text="Needs Review">
      <formula>NOT(ISERROR(SEARCH(("Needs Review"),(B26))))</formula>
    </cfRule>
  </conditionalFormatting>
  <conditionalFormatting sqref="B26:B28">
    <cfRule type="containsText" dxfId="4" priority="5" operator="containsText" text="Not Started">
      <formula>NOT(ISERROR(SEARCH(("Not Started"),(B26))))</formula>
    </cfRule>
  </conditionalFormatting>
  <conditionalFormatting sqref="B26:B28">
    <cfRule type="containsText" dxfId="5" priority="6" operator="containsText" text="On Hold">
      <formula>NOT(ISERROR(SEARCH(("On Hold"),(B26))))</formula>
    </cfRule>
  </conditionalFormatting>
  <conditionalFormatting sqref="B26:B28">
    <cfRule type="containsText" dxfId="6" priority="7" operator="containsText" text="Open">
      <formula>NOT(ISERROR(SEARCH(("Open"),(B26))))</formula>
    </cfRule>
  </conditionalFormatting>
  <conditionalFormatting sqref="B26:B28">
    <cfRule type="containsText" dxfId="7" priority="8" operator="containsText" text="Closed">
      <formula>NOT(ISERROR(SEARCH(("Closed"),(B26))))</formula>
    </cfRule>
  </conditionalFormatting>
  <conditionalFormatting sqref="B26:B28">
    <cfRule type="containsText" dxfId="8" priority="9" operator="containsText" text="In Progress">
      <formula>NOT(ISERROR(SEARCH(("In Progress"),(B26))))</formula>
    </cfRule>
  </conditionalFormatting>
  <conditionalFormatting sqref="B29:B31">
    <cfRule type="containsText" dxfId="9" priority="10" operator="containsText" text="Minor">
      <formula>NOT(ISERROR(SEARCH(("Minor"),(B29))))</formula>
    </cfRule>
  </conditionalFormatting>
  <conditionalFormatting sqref="B29:B31">
    <cfRule type="containsText" dxfId="21" priority="11" operator="containsText" text="Major">
      <formula>NOT(ISERROR(SEARCH(("Major"),(B29))))</formula>
    </cfRule>
  </conditionalFormatting>
  <conditionalFormatting sqref="B29:B31">
    <cfRule type="containsText" dxfId="11" priority="12" operator="containsText" text="Critical">
      <formula>NOT(ISERROR(SEARCH(("Critical"),(B29))))</formula>
    </cfRule>
  </conditionalFormatting>
  <conditionalFormatting sqref="B35:H59">
    <cfRule type="expression" dxfId="12" priority="13">
      <formula>$J35="FAILED"</formula>
    </cfRule>
  </conditionalFormatting>
  <conditionalFormatting sqref="B64:I213">
    <cfRule type="expression" dxfId="12" priority="14">
      <formula>$J64="FAILED"</formula>
    </cfRule>
  </conditionalFormatting>
  <conditionalFormatting sqref="F26:F29">
    <cfRule type="containsText" dxfId="13" priority="15" operator="containsText" text="Not Executed">
      <formula>NOT(ISERROR(SEARCH(("Not Executed"),(F26))))</formula>
    </cfRule>
  </conditionalFormatting>
  <conditionalFormatting sqref="F26:F29">
    <cfRule type="containsText" dxfId="14" priority="16" operator="containsText" text="BLOCKED">
      <formula>NOT(ISERROR(SEARCH(("BLOCKED"),(F26))))</formula>
    </cfRule>
  </conditionalFormatting>
  <conditionalFormatting sqref="F26:F29">
    <cfRule type="containsText" dxfId="15" priority="17" operator="containsText" text="PASS">
      <formula>NOT(ISERROR(SEARCH(("PASS"),(F26))))</formula>
    </cfRule>
  </conditionalFormatting>
  <conditionalFormatting sqref="F26:F29">
    <cfRule type="containsText" dxfId="16" priority="18" operator="containsText" text="FAIL">
      <formula>NOT(ISERROR(SEARCH(("FAIL"),(F26))))</formula>
    </cfRule>
  </conditionalFormatting>
  <conditionalFormatting sqref="H35:H59">
    <cfRule type="containsText" dxfId="2" priority="19" operator="containsText" text="Approved">
      <formula>NOT(ISERROR(SEARCH(("Approved"),(H35))))</formula>
    </cfRule>
  </conditionalFormatting>
  <conditionalFormatting sqref="H35:H59">
    <cfRule type="containsText" dxfId="3" priority="20" operator="containsText" text="Needs Review">
      <formula>NOT(ISERROR(SEARCH(("Needs Review"),(H35))))</formula>
    </cfRule>
  </conditionalFormatting>
  <conditionalFormatting sqref="H35:H59">
    <cfRule type="containsText" dxfId="4" priority="21" operator="containsText" text="Not Started">
      <formula>NOT(ISERROR(SEARCH(("Not Started"),(H35))))</formula>
    </cfRule>
  </conditionalFormatting>
  <conditionalFormatting sqref="H35:H59">
    <cfRule type="containsText" dxfId="5" priority="22" operator="containsText" text="On Hold">
      <formula>NOT(ISERROR(SEARCH(("On Hold"),(H35))))</formula>
    </cfRule>
  </conditionalFormatting>
  <conditionalFormatting sqref="H35:H59">
    <cfRule type="containsText" dxfId="6" priority="23" operator="containsText" text="Open">
      <formula>NOT(ISERROR(SEARCH(("Open"),(H35))))</formula>
    </cfRule>
  </conditionalFormatting>
  <conditionalFormatting sqref="H35:H59">
    <cfRule type="containsText" dxfId="7" priority="24" operator="containsText" text="Closed">
      <formula>NOT(ISERROR(SEARCH(("Closed"),(H35))))</formula>
    </cfRule>
  </conditionalFormatting>
  <conditionalFormatting sqref="H35:H59">
    <cfRule type="containsText" dxfId="8" priority="25" operator="containsText" text="In Progress">
      <formula>NOT(ISERROR(SEARCH(("In Progress"),(H35))))</formula>
    </cfRule>
  </conditionalFormatting>
  <conditionalFormatting sqref="I35:I59">
    <cfRule type="containsText" dxfId="9" priority="26" operator="containsText" text="Minor">
      <formula>NOT(ISERROR(SEARCH(("Minor"),(I35))))</formula>
    </cfRule>
  </conditionalFormatting>
  <conditionalFormatting sqref="I35:I59">
    <cfRule type="containsText" dxfId="21" priority="27" operator="containsText" text="Major">
      <formula>NOT(ISERROR(SEARCH(("Major"),(I35))))</formula>
    </cfRule>
  </conditionalFormatting>
  <conditionalFormatting sqref="I35:I59">
    <cfRule type="containsText" dxfId="11" priority="28" operator="containsText" text="Critical">
      <formula>NOT(ISERROR(SEARCH(("Critical"),(I35))))</formula>
    </cfRule>
  </conditionalFormatting>
  <conditionalFormatting sqref="J25:J27 K64:K213">
    <cfRule type="containsText" dxfId="18" priority="29" operator="containsText" text="Low">
      <formula>NOT(ISERROR(SEARCH(("Low"),(J25))))</formula>
    </cfRule>
  </conditionalFormatting>
  <conditionalFormatting sqref="K64:K213">
    <cfRule type="containsText" dxfId="19" priority="30" operator="containsText" text="Medium">
      <formula>NOT(ISERROR(SEARCH(("Medium"),(K64))))</formula>
    </cfRule>
  </conditionalFormatting>
  <conditionalFormatting sqref="K64:K213">
    <cfRule type="containsText" dxfId="20" priority="31" operator="containsText" text="High">
      <formula>NOT(ISERROR(SEARCH(("High"),(K64))))</formula>
    </cfRule>
  </conditionalFormatting>
  <dataValidations>
    <dataValidation type="list" allowBlank="1" showErrorMessage="1" sqref="H35:H59">
      <formula1>'Dropdown Keys'!$H$3:$H$5</formula1>
    </dataValidation>
    <dataValidation type="list" allowBlank="1" showErrorMessage="1" sqref="J64:J213">
      <formula1>'Dropdown Keys'!$B$3:$B$6</formula1>
    </dataValidation>
    <dataValidation type="list" allowBlank="1" showErrorMessage="1" sqref="D64:D213">
      <formula1>"Unit,Security,Performance,Integrity"</formula1>
    </dataValidation>
    <dataValidation type="list" allowBlank="1" showErrorMessage="1" sqref="I35:I59">
      <formula1>Status</formula1>
    </dataValidation>
    <dataValidation type="list" allowBlank="1" showErrorMessage="1" sqref="K64:K213">
      <formula1>'Dropdown Keys'!$N$3:$N$5</formula1>
    </dataValidation>
  </dataValidations>
  <printOptions/>
  <pageMargins bottom="0.4" footer="0.0" header="0.0" left="0.4" right="0.4" top="0.4"/>
  <pageSetup fitToHeight="0"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CB13"/>
    <pageSetUpPr fitToPage="1"/>
  </sheetPr>
  <sheetViews>
    <sheetView showGridLines="0" workbookViewId="0"/>
  </sheetViews>
  <sheetFormatPr customHeight="1" defaultColWidth="11.22" defaultRowHeight="15.0"/>
  <cols>
    <col customWidth="1" min="1" max="1" width="3.33"/>
    <col customWidth="1" min="2" max="2" width="11.0"/>
    <col customWidth="1" min="3" max="3" width="11.78"/>
    <col customWidth="1" min="4" max="4" width="12.89"/>
    <col customWidth="1" min="5" max="9" width="20.78"/>
    <col customWidth="1" min="10" max="12" width="16.78"/>
    <col customWidth="1" min="13" max="13" width="22.78"/>
    <col customWidth="1" min="14" max="14" width="3.33"/>
  </cols>
  <sheetData>
    <row r="1" ht="66.0" customHeight="1">
      <c r="A1" s="118"/>
      <c r="B1" s="104" t="s">
        <v>774</v>
      </c>
      <c r="C1" s="105"/>
      <c r="D1" s="105"/>
      <c r="E1" s="105"/>
      <c r="F1" s="105"/>
      <c r="G1" s="105"/>
      <c r="H1" s="105"/>
      <c r="I1" s="105"/>
      <c r="J1" s="105"/>
      <c r="K1" s="105"/>
      <c r="L1" s="105"/>
      <c r="M1" s="106"/>
      <c r="N1" s="118"/>
    </row>
    <row r="2" ht="45.75" customHeight="1">
      <c r="A2" s="119"/>
      <c r="B2" s="120"/>
      <c r="C2" s="120"/>
      <c r="D2" s="120"/>
      <c r="E2" s="120"/>
      <c r="F2" s="120"/>
      <c r="G2" s="120"/>
      <c r="H2" s="121"/>
      <c r="I2" s="121"/>
      <c r="J2" s="119"/>
      <c r="K2" s="119"/>
      <c r="L2" s="119"/>
      <c r="M2" s="119"/>
      <c r="N2" s="119"/>
    </row>
    <row r="3" ht="19.5" customHeight="1">
      <c r="A3" s="122"/>
      <c r="B3" s="123" t="s">
        <v>662</v>
      </c>
      <c r="C3" s="124"/>
      <c r="D3" s="124"/>
      <c r="E3" s="124"/>
      <c r="F3" s="125"/>
      <c r="G3" s="212" t="s">
        <v>649</v>
      </c>
      <c r="I3" s="127"/>
      <c r="J3" s="122"/>
      <c r="K3" s="122"/>
      <c r="L3" s="122"/>
      <c r="M3" s="122"/>
      <c r="N3" s="122"/>
    </row>
    <row r="4" ht="34.5" customHeight="1">
      <c r="A4" s="122"/>
      <c r="B4" s="128" t="s">
        <v>34</v>
      </c>
      <c r="C4" s="129"/>
      <c r="D4" s="129"/>
      <c r="E4" s="129"/>
      <c r="F4" s="130"/>
      <c r="G4" s="213">
        <f>C25</f>
        <v>0</v>
      </c>
      <c r="I4" s="127"/>
      <c r="J4" s="122"/>
      <c r="K4" s="122"/>
      <c r="L4" s="122"/>
      <c r="M4" s="122"/>
      <c r="N4" s="122"/>
    </row>
    <row r="5" ht="19.5" customHeight="1">
      <c r="A5" s="122"/>
      <c r="B5" s="132" t="s">
        <v>663</v>
      </c>
      <c r="C5" s="133"/>
      <c r="D5" s="133"/>
      <c r="E5" s="133"/>
      <c r="F5" s="134"/>
      <c r="G5" s="214" t="s">
        <v>664</v>
      </c>
      <c r="I5" s="127"/>
      <c r="J5" s="122"/>
      <c r="K5" s="122"/>
      <c r="L5" s="122"/>
      <c r="M5" s="122"/>
      <c r="N5" s="122"/>
    </row>
    <row r="6" ht="34.5" customHeight="1">
      <c r="A6" s="122"/>
      <c r="B6" s="136" t="s">
        <v>665</v>
      </c>
      <c r="C6" s="129"/>
      <c r="D6" s="129"/>
      <c r="E6" s="129"/>
      <c r="F6" s="130"/>
      <c r="G6" s="215">
        <f>G25</f>
        <v>0</v>
      </c>
      <c r="I6" s="127"/>
      <c r="J6" s="122"/>
      <c r="K6" s="122"/>
      <c r="L6" s="122"/>
      <c r="M6" s="122"/>
      <c r="N6" s="122"/>
    </row>
    <row r="7" ht="15.75" customHeight="1">
      <c r="A7" s="119"/>
      <c r="B7" s="119"/>
      <c r="C7" s="119"/>
      <c r="D7" s="119"/>
      <c r="E7" s="119"/>
      <c r="F7" s="119"/>
      <c r="G7" s="119"/>
      <c r="H7" s="119"/>
      <c r="I7" s="119"/>
      <c r="J7" s="119"/>
      <c r="K7" s="119"/>
      <c r="L7" s="119"/>
      <c r="M7" s="119"/>
      <c r="N7" s="119"/>
    </row>
    <row r="8" ht="15.75" customHeight="1">
      <c r="A8" s="119"/>
      <c r="B8" s="119"/>
      <c r="C8" s="119"/>
      <c r="D8" s="119"/>
      <c r="E8" s="137" t="s">
        <v>666</v>
      </c>
      <c r="F8" s="138"/>
      <c r="G8" s="119"/>
      <c r="H8" s="119"/>
      <c r="I8" s="119"/>
      <c r="J8" s="119"/>
      <c r="K8" s="119"/>
      <c r="L8" s="119"/>
      <c r="M8" s="119"/>
      <c r="N8" s="119"/>
    </row>
    <row r="9" ht="15.75" customHeight="1">
      <c r="A9" s="119"/>
      <c r="B9" s="140" t="s">
        <v>667</v>
      </c>
      <c r="C9" s="125"/>
      <c r="D9" s="141" t="s">
        <v>668</v>
      </c>
      <c r="E9" s="142" t="s">
        <v>669</v>
      </c>
      <c r="F9" s="143" t="s">
        <v>670</v>
      </c>
      <c r="G9" s="119"/>
      <c r="H9" s="119"/>
      <c r="I9" s="119"/>
      <c r="J9" s="119"/>
      <c r="K9" s="119"/>
      <c r="L9" s="119"/>
      <c r="M9" s="119"/>
      <c r="N9" s="119"/>
    </row>
    <row r="10" ht="34.5" customHeight="1">
      <c r="A10" s="119"/>
      <c r="B10" s="144" t="s">
        <v>671</v>
      </c>
      <c r="C10" s="130"/>
      <c r="D10" s="145"/>
      <c r="E10" s="146">
        <v>46092.0</v>
      </c>
      <c r="F10" s="147">
        <v>46093.0</v>
      </c>
      <c r="G10" s="119"/>
      <c r="H10" s="119"/>
      <c r="I10" s="119"/>
      <c r="J10" s="119"/>
      <c r="K10" s="119"/>
      <c r="L10" s="119"/>
      <c r="M10" s="119"/>
      <c r="N10" s="119"/>
    </row>
    <row r="11" ht="15.75" customHeight="1">
      <c r="A11" s="119"/>
      <c r="B11" s="119"/>
      <c r="C11" s="119"/>
      <c r="D11" s="119"/>
      <c r="E11" s="119"/>
      <c r="F11" s="119"/>
      <c r="G11" s="119"/>
      <c r="H11" s="119"/>
      <c r="I11" s="119"/>
      <c r="J11" s="119"/>
      <c r="K11" s="119"/>
      <c r="L11" s="119"/>
      <c r="M11" s="119"/>
      <c r="N11" s="119"/>
    </row>
    <row r="12" ht="24.75" customHeight="1">
      <c r="A12" s="122"/>
      <c r="B12" s="148" t="s">
        <v>775</v>
      </c>
      <c r="C12" s="124"/>
      <c r="D12" s="124"/>
      <c r="E12" s="124"/>
      <c r="F12" s="124"/>
      <c r="G12" s="124"/>
      <c r="H12" s="125"/>
      <c r="I12" s="122"/>
      <c r="J12" s="122"/>
      <c r="K12" s="122"/>
      <c r="L12" s="122"/>
      <c r="M12" s="122"/>
      <c r="N12" s="122"/>
    </row>
    <row r="13" ht="64.5" customHeight="1">
      <c r="A13" s="122"/>
      <c r="B13" s="151"/>
      <c r="C13" s="129"/>
      <c r="D13" s="129"/>
      <c r="E13" s="129"/>
      <c r="F13" s="129"/>
      <c r="G13" s="129"/>
      <c r="H13" s="130"/>
      <c r="I13" s="122"/>
      <c r="J13" s="122"/>
      <c r="K13" s="122"/>
      <c r="L13" s="122"/>
      <c r="M13" s="122"/>
      <c r="N13" s="122"/>
    </row>
    <row r="14" ht="15.75" customHeight="1">
      <c r="A14" s="119"/>
      <c r="B14" s="119"/>
      <c r="C14" s="119"/>
      <c r="D14" s="119"/>
      <c r="E14" s="119"/>
      <c r="F14" s="119"/>
      <c r="G14" s="119"/>
      <c r="H14" s="119"/>
      <c r="I14" s="119"/>
      <c r="J14" s="119"/>
      <c r="K14" s="119"/>
      <c r="L14" s="119"/>
      <c r="M14" s="119"/>
      <c r="N14" s="119"/>
    </row>
    <row r="15" ht="24.75" customHeight="1">
      <c r="A15" s="122"/>
      <c r="B15" s="150" t="s">
        <v>776</v>
      </c>
      <c r="C15" s="124"/>
      <c r="D15" s="124"/>
      <c r="E15" s="124"/>
      <c r="F15" s="124"/>
      <c r="G15" s="124"/>
      <c r="H15" s="125"/>
      <c r="I15" s="122"/>
      <c r="J15" s="122"/>
      <c r="K15" s="122"/>
      <c r="L15" s="122"/>
      <c r="M15" s="122"/>
      <c r="N15" s="122"/>
    </row>
    <row r="16" ht="64.5" customHeight="1">
      <c r="A16" s="122"/>
      <c r="B16" s="151"/>
      <c r="C16" s="129"/>
      <c r="D16" s="129"/>
      <c r="E16" s="129"/>
      <c r="F16" s="129"/>
      <c r="G16" s="129"/>
      <c r="H16" s="130"/>
      <c r="I16" s="122"/>
      <c r="J16" s="122"/>
      <c r="K16" s="122"/>
      <c r="L16" s="122"/>
      <c r="M16" s="122"/>
      <c r="N16" s="122"/>
    </row>
    <row r="17" ht="24.75" customHeight="1">
      <c r="A17" s="122"/>
      <c r="B17" s="152" t="s">
        <v>777</v>
      </c>
      <c r="C17" s="133"/>
      <c r="D17" s="133"/>
      <c r="E17" s="133"/>
      <c r="F17" s="133"/>
      <c r="G17" s="133"/>
      <c r="H17" s="134"/>
      <c r="I17" s="122"/>
      <c r="J17" s="122"/>
      <c r="K17" s="122"/>
      <c r="L17" s="122"/>
      <c r="M17" s="122"/>
      <c r="N17" s="122"/>
    </row>
    <row r="18" ht="64.5" customHeight="1">
      <c r="A18" s="122"/>
      <c r="B18" s="151"/>
      <c r="C18" s="129"/>
      <c r="D18" s="129"/>
      <c r="E18" s="129"/>
      <c r="F18" s="129"/>
      <c r="G18" s="129"/>
      <c r="H18" s="130"/>
      <c r="I18" s="122"/>
      <c r="J18" s="122"/>
      <c r="K18" s="122"/>
      <c r="L18" s="122"/>
      <c r="M18" s="122"/>
      <c r="N18" s="122"/>
    </row>
    <row r="19" ht="24.75" customHeight="1">
      <c r="A19" s="122"/>
      <c r="B19" s="152" t="s">
        <v>778</v>
      </c>
      <c r="C19" s="133"/>
      <c r="D19" s="133"/>
      <c r="E19" s="133"/>
      <c r="F19" s="133"/>
      <c r="G19" s="133"/>
      <c r="H19" s="134"/>
      <c r="I19" s="122"/>
      <c r="J19" s="122"/>
      <c r="K19" s="122"/>
      <c r="L19" s="122"/>
      <c r="M19" s="122"/>
      <c r="N19" s="122"/>
    </row>
    <row r="20" ht="64.5" customHeight="1">
      <c r="A20" s="122"/>
      <c r="B20" s="153"/>
      <c r="C20" s="129"/>
      <c r="D20" s="129"/>
      <c r="E20" s="129"/>
      <c r="F20" s="129"/>
      <c r="G20" s="129"/>
      <c r="H20" s="130"/>
      <c r="I20" s="122"/>
      <c r="J20" s="122"/>
      <c r="K20" s="122"/>
      <c r="L20" s="122"/>
      <c r="M20" s="122"/>
      <c r="N20" s="122"/>
    </row>
    <row r="21" ht="69.0" customHeight="1">
      <c r="A21" s="119"/>
      <c r="B21" s="119"/>
      <c r="C21" s="119"/>
      <c r="D21" s="119"/>
      <c r="E21" s="119"/>
      <c r="F21" s="119"/>
      <c r="G21" s="119"/>
      <c r="H21" s="119"/>
      <c r="I21" s="119"/>
      <c r="J21" s="119"/>
      <c r="K21" s="119"/>
      <c r="L21" s="119"/>
      <c r="M21" s="119"/>
      <c r="N21" s="119"/>
    </row>
    <row r="22" ht="9.0" customHeight="1">
      <c r="A22" s="119"/>
      <c r="B22" s="154"/>
      <c r="C22" s="154"/>
      <c r="D22" s="154"/>
      <c r="E22" s="154"/>
      <c r="F22" s="154"/>
      <c r="G22" s="154"/>
      <c r="H22" s="154"/>
      <c r="I22" s="154"/>
      <c r="J22" s="154"/>
      <c r="K22" s="154"/>
      <c r="L22" s="154"/>
      <c r="M22" s="154"/>
      <c r="N22" s="119"/>
    </row>
    <row r="23" ht="34.5" customHeight="1">
      <c r="A23" s="122"/>
      <c r="B23" s="155" t="s">
        <v>677</v>
      </c>
      <c r="C23" s="156"/>
      <c r="D23" s="156"/>
      <c r="E23" s="156"/>
      <c r="F23" s="156"/>
      <c r="G23" s="156"/>
      <c r="H23" s="156"/>
      <c r="I23" s="156"/>
      <c r="J23" s="156"/>
      <c r="K23" s="156"/>
      <c r="L23" s="156"/>
      <c r="M23" s="156"/>
      <c r="N23" s="156"/>
    </row>
    <row r="24" ht="25.5" customHeight="1">
      <c r="A24" s="119"/>
      <c r="B24" s="157" t="s">
        <v>678</v>
      </c>
      <c r="D24" s="157"/>
      <c r="E24" s="119"/>
      <c r="F24" s="157" t="s">
        <v>679</v>
      </c>
      <c r="I24" s="119"/>
      <c r="J24" s="158" t="s">
        <v>680</v>
      </c>
      <c r="M24" s="119"/>
      <c r="N24" s="119"/>
    </row>
    <row r="25" ht="54.75" customHeight="1">
      <c r="A25" s="119"/>
      <c r="B25" s="159" t="s">
        <v>681</v>
      </c>
      <c r="C25" s="160">
        <f>COUNTIF(B35:B59, "*")</f>
        <v>0</v>
      </c>
      <c r="D25" s="157"/>
      <c r="E25" s="119"/>
      <c r="F25" s="161" t="s">
        <v>682</v>
      </c>
      <c r="G25" s="162">
        <f>COUNTIF(B64:B213, "*")</f>
        <v>0</v>
      </c>
      <c r="I25" s="119"/>
      <c r="J25" s="163" t="s">
        <v>683</v>
      </c>
      <c r="K25" s="164">
        <f t="shared" ref="K25:K27" si="1">COUNTIF(K63:K212,J25)</f>
        <v>0</v>
      </c>
      <c r="L25" s="119"/>
      <c r="M25" s="119"/>
      <c r="N25" s="119"/>
    </row>
    <row r="26" ht="28.5" customHeight="1">
      <c r="A26" s="119"/>
      <c r="B26" s="165" t="s">
        <v>684</v>
      </c>
      <c r="C26" s="164">
        <f>COUNTIF(H35:H59,B26)</f>
        <v>0</v>
      </c>
      <c r="D26" s="157"/>
      <c r="E26" s="119"/>
      <c r="F26" s="166" t="s">
        <v>685</v>
      </c>
      <c r="G26" s="164">
        <f>COUNTIF(J64:J213,F26)</f>
        <v>0</v>
      </c>
      <c r="I26" s="119"/>
      <c r="J26" s="163" t="s">
        <v>686</v>
      </c>
      <c r="K26" s="164">
        <f t="shared" si="1"/>
        <v>0</v>
      </c>
      <c r="L26" s="119"/>
      <c r="M26" s="119"/>
      <c r="N26" s="119"/>
    </row>
    <row r="27" ht="28.5" customHeight="1">
      <c r="A27" s="119"/>
      <c r="B27" s="167" t="s">
        <v>112</v>
      </c>
      <c r="C27" s="168">
        <f>COUNTIF(H35:H59,B27)</f>
        <v>0</v>
      </c>
      <c r="D27" s="157"/>
      <c r="E27" s="119"/>
      <c r="F27" s="169" t="s">
        <v>687</v>
      </c>
      <c r="G27" s="168">
        <f>COUNTIF(J64:J213,F27)</f>
        <v>0</v>
      </c>
      <c r="I27" s="119"/>
      <c r="J27" s="163" t="s">
        <v>688</v>
      </c>
      <c r="K27" s="164">
        <f t="shared" si="1"/>
        <v>0</v>
      </c>
      <c r="L27" s="119"/>
      <c r="M27" s="119"/>
      <c r="N27" s="119"/>
    </row>
    <row r="28" ht="28.5" customHeight="1">
      <c r="A28" s="119"/>
      <c r="B28" s="167" t="s">
        <v>689</v>
      </c>
      <c r="C28" s="168">
        <f>COUNTIF(H35:H59,B28)</f>
        <v>0</v>
      </c>
      <c r="D28" s="157"/>
      <c r="E28" s="119"/>
      <c r="F28" s="169" t="s">
        <v>690</v>
      </c>
      <c r="G28" s="168">
        <f>COUNTIF(J64:J213,F28)</f>
        <v>0</v>
      </c>
      <c r="I28" s="119"/>
      <c r="J28" s="119"/>
      <c r="K28" s="119"/>
      <c r="L28" s="119"/>
      <c r="M28" s="119"/>
      <c r="N28" s="119"/>
    </row>
    <row r="29" ht="28.5" customHeight="1">
      <c r="A29" s="119"/>
      <c r="B29" s="170" t="s">
        <v>691</v>
      </c>
      <c r="C29" s="168">
        <f>COUNTIF(I35:I59,B29)</f>
        <v>0</v>
      </c>
      <c r="D29" s="157"/>
      <c r="E29" s="119"/>
      <c r="F29" s="169" t="s">
        <v>692</v>
      </c>
      <c r="G29" s="168">
        <f>COUNTIF(J64:J213,F29)</f>
        <v>0</v>
      </c>
      <c r="I29" s="119"/>
      <c r="J29" s="119"/>
      <c r="K29" s="119"/>
      <c r="L29" s="119"/>
      <c r="M29" s="119"/>
      <c r="N29" s="119"/>
    </row>
    <row r="30" ht="28.5" customHeight="1">
      <c r="A30" s="119"/>
      <c r="B30" s="170" t="s">
        <v>693</v>
      </c>
      <c r="C30" s="168">
        <f>COUNTIF(I35:I59,B30)</f>
        <v>0</v>
      </c>
      <c r="D30" s="157"/>
      <c r="E30" s="119"/>
      <c r="F30" s="119"/>
      <c r="G30" s="119"/>
      <c r="H30" s="119"/>
      <c r="I30" s="119"/>
      <c r="J30" s="119"/>
      <c r="K30" s="119"/>
      <c r="L30" s="119"/>
      <c r="M30" s="119"/>
      <c r="N30" s="119"/>
    </row>
    <row r="31" ht="28.5" customHeight="1">
      <c r="A31" s="119"/>
      <c r="B31" s="170" t="s">
        <v>694</v>
      </c>
      <c r="C31" s="168">
        <f>COUNTIF(I35:I59,B31)</f>
        <v>0</v>
      </c>
      <c r="D31" s="157"/>
      <c r="E31" s="119"/>
      <c r="F31" s="119"/>
      <c r="G31" s="119"/>
      <c r="H31" s="119"/>
      <c r="I31" s="119"/>
      <c r="J31" s="119"/>
      <c r="K31" s="119"/>
      <c r="L31" s="119"/>
      <c r="M31" s="119"/>
      <c r="N31" s="119"/>
    </row>
    <row r="32" ht="15.75" customHeight="1">
      <c r="A32" s="119"/>
      <c r="B32" s="119"/>
      <c r="C32" s="119"/>
      <c r="D32" s="119"/>
      <c r="E32" s="119"/>
      <c r="F32" s="119"/>
      <c r="G32" s="119"/>
      <c r="H32" s="119"/>
      <c r="I32" s="119"/>
      <c r="J32" s="119"/>
      <c r="K32" s="119"/>
      <c r="L32" s="119"/>
      <c r="M32" s="119"/>
      <c r="N32" s="119"/>
    </row>
    <row r="33" ht="34.5" customHeight="1">
      <c r="A33" s="122"/>
      <c r="B33" s="171" t="s">
        <v>695</v>
      </c>
      <c r="C33" s="156"/>
      <c r="D33" s="156"/>
      <c r="E33" s="156"/>
      <c r="F33" s="156"/>
      <c r="G33" s="156"/>
      <c r="H33" s="156"/>
      <c r="I33" s="156"/>
      <c r="J33" s="156"/>
      <c r="K33" s="156"/>
      <c r="L33" s="156"/>
      <c r="M33" s="156"/>
      <c r="N33" s="156"/>
    </row>
    <row r="34" ht="39.75" customHeight="1">
      <c r="A34" s="172"/>
      <c r="B34" s="173" t="s">
        <v>696</v>
      </c>
      <c r="C34" s="173" t="s">
        <v>697</v>
      </c>
      <c r="D34" s="174" t="s">
        <v>698</v>
      </c>
      <c r="E34" s="174" t="s">
        <v>699</v>
      </c>
      <c r="F34" s="174" t="s">
        <v>700</v>
      </c>
      <c r="G34" s="175" t="s">
        <v>701</v>
      </c>
      <c r="H34" s="173" t="s">
        <v>702</v>
      </c>
      <c r="I34" s="173" t="s">
        <v>703</v>
      </c>
      <c r="J34" s="176" t="s">
        <v>704</v>
      </c>
      <c r="K34" s="176" t="s">
        <v>652</v>
      </c>
      <c r="L34" s="119"/>
      <c r="M34" s="119"/>
      <c r="N34" s="172"/>
    </row>
    <row r="35" ht="15.75" customHeight="1">
      <c r="A35" s="119"/>
      <c r="B35" s="184"/>
      <c r="C35" s="178"/>
      <c r="D35" s="179"/>
      <c r="E35" s="179"/>
      <c r="F35" s="179"/>
      <c r="G35" s="179"/>
      <c r="H35" s="187"/>
      <c r="I35" s="181"/>
      <c r="J35" s="182"/>
      <c r="K35" s="183"/>
      <c r="L35" s="119"/>
      <c r="M35" s="119"/>
      <c r="N35" s="119"/>
    </row>
    <row r="36" ht="15.75" customHeight="1">
      <c r="A36" s="119"/>
      <c r="B36" s="184"/>
      <c r="C36" s="178"/>
      <c r="D36" s="179"/>
      <c r="E36" s="179"/>
      <c r="F36" s="179"/>
      <c r="G36" s="179"/>
      <c r="H36" s="167"/>
      <c r="I36" s="181"/>
      <c r="J36" s="182"/>
      <c r="K36" s="183"/>
      <c r="L36" s="119"/>
      <c r="M36" s="119"/>
      <c r="N36" s="119"/>
    </row>
    <row r="37" ht="15.75" customHeight="1">
      <c r="A37" s="119"/>
      <c r="B37" s="184"/>
      <c r="C37" s="178"/>
      <c r="D37" s="179"/>
      <c r="E37" s="179"/>
      <c r="F37" s="179"/>
      <c r="G37" s="179"/>
      <c r="H37" s="167"/>
      <c r="I37" s="186"/>
      <c r="J37" s="182"/>
      <c r="K37" s="183"/>
      <c r="L37" s="119"/>
      <c r="M37" s="119"/>
      <c r="N37" s="119"/>
    </row>
    <row r="38" ht="15.75" customHeight="1">
      <c r="A38" s="119"/>
      <c r="B38" s="184"/>
      <c r="C38" s="178"/>
      <c r="D38" s="179"/>
      <c r="E38" s="179"/>
      <c r="F38" s="179"/>
      <c r="G38" s="179"/>
      <c r="H38" s="187"/>
      <c r="I38" s="186"/>
      <c r="J38" s="182"/>
      <c r="K38" s="183"/>
      <c r="L38" s="119"/>
      <c r="M38" s="119"/>
      <c r="N38" s="119"/>
    </row>
    <row r="39" ht="15.75" customHeight="1">
      <c r="A39" s="119"/>
      <c r="B39" s="184"/>
      <c r="C39" s="178"/>
      <c r="D39" s="179"/>
      <c r="E39" s="179"/>
      <c r="F39" s="179"/>
      <c r="G39" s="179"/>
      <c r="H39" s="187"/>
      <c r="I39" s="186"/>
      <c r="J39" s="182"/>
      <c r="K39" s="183"/>
      <c r="L39" s="119"/>
      <c r="M39" s="119"/>
      <c r="N39" s="119"/>
    </row>
    <row r="40" ht="15.75" customHeight="1">
      <c r="A40" s="119"/>
      <c r="B40" s="184"/>
      <c r="C40" s="178"/>
      <c r="D40" s="179"/>
      <c r="E40" s="179"/>
      <c r="F40" s="179"/>
      <c r="G40" s="179"/>
      <c r="H40" s="187"/>
      <c r="I40" s="186"/>
      <c r="J40" s="182"/>
      <c r="K40" s="183"/>
      <c r="L40" s="119"/>
      <c r="M40" s="119"/>
      <c r="N40" s="119"/>
    </row>
    <row r="41" ht="15.75" customHeight="1">
      <c r="A41" s="119"/>
      <c r="B41" s="184"/>
      <c r="C41" s="178"/>
      <c r="D41" s="179"/>
      <c r="E41" s="179"/>
      <c r="F41" s="179"/>
      <c r="G41" s="179"/>
      <c r="H41" s="187"/>
      <c r="I41" s="186"/>
      <c r="J41" s="182"/>
      <c r="K41" s="183"/>
      <c r="L41" s="119"/>
      <c r="M41" s="119"/>
      <c r="N41" s="119"/>
    </row>
    <row r="42" ht="15.75" customHeight="1">
      <c r="A42" s="119"/>
      <c r="B42" s="184"/>
      <c r="C42" s="178"/>
      <c r="D42" s="179"/>
      <c r="E42" s="179"/>
      <c r="F42" s="179"/>
      <c r="G42" s="179"/>
      <c r="H42" s="187"/>
      <c r="I42" s="181"/>
      <c r="J42" s="182"/>
      <c r="K42" s="183"/>
      <c r="L42" s="119"/>
      <c r="M42" s="119"/>
      <c r="N42" s="119"/>
    </row>
    <row r="43" ht="15.75" customHeight="1">
      <c r="A43" s="119"/>
      <c r="B43" s="184"/>
      <c r="C43" s="178"/>
      <c r="D43" s="179"/>
      <c r="E43" s="179"/>
      <c r="F43" s="179"/>
      <c r="G43" s="179"/>
      <c r="H43" s="187"/>
      <c r="I43" s="186"/>
      <c r="J43" s="182"/>
      <c r="K43" s="183"/>
      <c r="L43" s="119"/>
      <c r="M43" s="119"/>
      <c r="N43" s="119"/>
    </row>
    <row r="44" ht="15.75" customHeight="1">
      <c r="A44" s="119"/>
      <c r="B44" s="184"/>
      <c r="C44" s="178"/>
      <c r="D44" s="179"/>
      <c r="E44" s="179"/>
      <c r="F44" s="179"/>
      <c r="G44" s="179"/>
      <c r="H44" s="187"/>
      <c r="I44" s="186"/>
      <c r="J44" s="182"/>
      <c r="K44" s="183"/>
      <c r="L44" s="119"/>
      <c r="M44" s="119"/>
      <c r="N44" s="119"/>
    </row>
    <row r="45" ht="15.75" customHeight="1">
      <c r="A45" s="119"/>
      <c r="B45" s="184"/>
      <c r="C45" s="178"/>
      <c r="D45" s="179"/>
      <c r="E45" s="179"/>
      <c r="F45" s="179"/>
      <c r="G45" s="179"/>
      <c r="H45" s="187"/>
      <c r="I45" s="186"/>
      <c r="J45" s="182"/>
      <c r="K45" s="183"/>
      <c r="L45" s="119"/>
      <c r="M45" s="119"/>
      <c r="N45" s="119"/>
    </row>
    <row r="46" ht="15.75" customHeight="1">
      <c r="A46" s="119"/>
      <c r="B46" s="184"/>
      <c r="C46" s="178"/>
      <c r="D46" s="179"/>
      <c r="E46" s="179"/>
      <c r="F46" s="179"/>
      <c r="G46" s="179"/>
      <c r="H46" s="187"/>
      <c r="I46" s="186"/>
      <c r="J46" s="182"/>
      <c r="K46" s="183"/>
      <c r="L46" s="119"/>
      <c r="M46" s="119"/>
      <c r="N46" s="119"/>
    </row>
    <row r="47" ht="15.75" customHeight="1">
      <c r="A47" s="119"/>
      <c r="B47" s="184"/>
      <c r="C47" s="178"/>
      <c r="D47" s="179"/>
      <c r="E47" s="179"/>
      <c r="F47" s="179"/>
      <c r="G47" s="179"/>
      <c r="H47" s="187"/>
      <c r="I47" s="186"/>
      <c r="J47" s="182"/>
      <c r="K47" s="183"/>
      <c r="L47" s="119"/>
      <c r="M47" s="119"/>
      <c r="N47" s="119"/>
    </row>
    <row r="48" ht="15.75" customHeight="1">
      <c r="A48" s="119"/>
      <c r="B48" s="184"/>
      <c r="C48" s="178"/>
      <c r="D48" s="179"/>
      <c r="E48" s="179"/>
      <c r="F48" s="179"/>
      <c r="G48" s="179"/>
      <c r="H48" s="187"/>
      <c r="I48" s="186"/>
      <c r="J48" s="182"/>
      <c r="K48" s="183"/>
      <c r="L48" s="119"/>
      <c r="M48" s="119"/>
      <c r="N48" s="119"/>
    </row>
    <row r="49" ht="15.75" customHeight="1">
      <c r="A49" s="119"/>
      <c r="B49" s="184"/>
      <c r="C49" s="178"/>
      <c r="D49" s="179"/>
      <c r="E49" s="179"/>
      <c r="F49" s="179"/>
      <c r="G49" s="179"/>
      <c r="H49" s="187"/>
      <c r="I49" s="181"/>
      <c r="J49" s="182"/>
      <c r="K49" s="183"/>
      <c r="L49" s="119"/>
      <c r="M49" s="119"/>
      <c r="N49" s="119"/>
    </row>
    <row r="50" ht="15.75" customHeight="1">
      <c r="A50" s="119"/>
      <c r="B50" s="184"/>
      <c r="C50" s="178"/>
      <c r="D50" s="179"/>
      <c r="E50" s="179"/>
      <c r="F50" s="179"/>
      <c r="G50" s="179"/>
      <c r="H50" s="187"/>
      <c r="I50" s="186"/>
      <c r="J50" s="182"/>
      <c r="K50" s="183"/>
      <c r="L50" s="119"/>
      <c r="M50" s="119"/>
      <c r="N50" s="119"/>
    </row>
    <row r="51" ht="15.75" customHeight="1">
      <c r="A51" s="119"/>
      <c r="B51" s="184"/>
      <c r="C51" s="178"/>
      <c r="D51" s="179"/>
      <c r="E51" s="179"/>
      <c r="F51" s="179"/>
      <c r="G51" s="179"/>
      <c r="H51" s="187"/>
      <c r="I51" s="186"/>
      <c r="J51" s="182"/>
      <c r="K51" s="183"/>
      <c r="L51" s="119"/>
      <c r="M51" s="119"/>
      <c r="N51" s="119"/>
    </row>
    <row r="52" ht="15.75" customHeight="1">
      <c r="A52" s="119"/>
      <c r="B52" s="184"/>
      <c r="C52" s="178"/>
      <c r="D52" s="179"/>
      <c r="E52" s="179"/>
      <c r="F52" s="179"/>
      <c r="G52" s="179"/>
      <c r="H52" s="187"/>
      <c r="I52" s="186"/>
      <c r="J52" s="182"/>
      <c r="K52" s="183"/>
      <c r="L52" s="119"/>
      <c r="M52" s="119"/>
      <c r="N52" s="119"/>
    </row>
    <row r="53" ht="15.75" customHeight="1">
      <c r="A53" s="119"/>
      <c r="B53" s="184"/>
      <c r="C53" s="178"/>
      <c r="D53" s="179"/>
      <c r="E53" s="179"/>
      <c r="F53" s="179"/>
      <c r="G53" s="179"/>
      <c r="H53" s="187"/>
      <c r="I53" s="186"/>
      <c r="J53" s="182"/>
      <c r="K53" s="183"/>
      <c r="L53" s="119"/>
      <c r="M53" s="119"/>
      <c r="N53" s="119"/>
    </row>
    <row r="54" ht="15.75" customHeight="1">
      <c r="A54" s="119"/>
      <c r="B54" s="184"/>
      <c r="C54" s="178"/>
      <c r="D54" s="179"/>
      <c r="E54" s="179"/>
      <c r="F54" s="179"/>
      <c r="G54" s="179"/>
      <c r="H54" s="187"/>
      <c r="I54" s="186"/>
      <c r="J54" s="182"/>
      <c r="K54" s="183"/>
      <c r="L54" s="119"/>
      <c r="M54" s="119"/>
      <c r="N54" s="119"/>
    </row>
    <row r="55" ht="15.75" customHeight="1">
      <c r="A55" s="119"/>
      <c r="B55" s="184"/>
      <c r="C55" s="178"/>
      <c r="D55" s="179"/>
      <c r="E55" s="179"/>
      <c r="F55" s="179"/>
      <c r="G55" s="179"/>
      <c r="H55" s="187"/>
      <c r="I55" s="186"/>
      <c r="J55" s="182"/>
      <c r="K55" s="183"/>
      <c r="L55" s="119"/>
      <c r="M55" s="119"/>
      <c r="N55" s="119"/>
    </row>
    <row r="56" ht="15.75" customHeight="1">
      <c r="A56" s="119"/>
      <c r="B56" s="184"/>
      <c r="C56" s="178"/>
      <c r="D56" s="179"/>
      <c r="E56" s="179"/>
      <c r="F56" s="179"/>
      <c r="G56" s="179"/>
      <c r="H56" s="187"/>
      <c r="I56" s="186"/>
      <c r="J56" s="182"/>
      <c r="K56" s="183"/>
      <c r="L56" s="119"/>
      <c r="M56" s="119"/>
      <c r="N56" s="119"/>
    </row>
    <row r="57" ht="15.75" customHeight="1">
      <c r="A57" s="119"/>
      <c r="B57" s="184"/>
      <c r="C57" s="178"/>
      <c r="D57" s="179"/>
      <c r="E57" s="179"/>
      <c r="F57" s="179"/>
      <c r="G57" s="179"/>
      <c r="H57" s="187"/>
      <c r="I57" s="186"/>
      <c r="J57" s="182"/>
      <c r="K57" s="183"/>
      <c r="L57" s="119"/>
      <c r="M57" s="119"/>
      <c r="N57" s="119"/>
    </row>
    <row r="58" ht="15.75" customHeight="1">
      <c r="A58" s="119"/>
      <c r="B58" s="184"/>
      <c r="C58" s="178"/>
      <c r="D58" s="179"/>
      <c r="E58" s="179"/>
      <c r="F58" s="179"/>
      <c r="G58" s="179"/>
      <c r="H58" s="187"/>
      <c r="I58" s="186"/>
      <c r="J58" s="182"/>
      <c r="K58" s="183"/>
      <c r="L58" s="119"/>
      <c r="M58" s="119"/>
      <c r="N58" s="119"/>
    </row>
    <row r="59" ht="15.75" customHeight="1">
      <c r="A59" s="119"/>
      <c r="B59" s="184"/>
      <c r="C59" s="178"/>
      <c r="D59" s="179"/>
      <c r="E59" s="179"/>
      <c r="F59" s="179"/>
      <c r="G59" s="179"/>
      <c r="H59" s="187"/>
      <c r="I59" s="186"/>
      <c r="J59" s="182"/>
      <c r="K59" s="183"/>
      <c r="L59" s="119"/>
      <c r="M59" s="119"/>
      <c r="N59" s="119"/>
    </row>
    <row r="60" ht="15.75" customHeight="1">
      <c r="A60" s="119"/>
      <c r="B60" s="119"/>
      <c r="C60" s="119"/>
      <c r="D60" s="119"/>
      <c r="E60" s="119"/>
      <c r="F60" s="119"/>
      <c r="G60" s="119"/>
      <c r="H60" s="119"/>
      <c r="I60" s="119"/>
      <c r="J60" s="119"/>
      <c r="K60" s="119"/>
      <c r="L60" s="119"/>
      <c r="M60" s="119"/>
      <c r="N60" s="119"/>
    </row>
    <row r="61" ht="9.75" customHeight="1">
      <c r="A61" s="122"/>
      <c r="B61" s="122"/>
      <c r="C61" s="156"/>
      <c r="D61" s="156"/>
      <c r="E61" s="156"/>
      <c r="F61" s="156"/>
      <c r="G61" s="156"/>
      <c r="H61" s="156"/>
      <c r="I61" s="156"/>
      <c r="J61" s="156"/>
      <c r="K61" s="156"/>
      <c r="L61" s="156"/>
      <c r="M61" s="156"/>
      <c r="N61" s="156"/>
    </row>
    <row r="62" ht="34.5" customHeight="1">
      <c r="A62" s="122"/>
      <c r="B62" s="188" t="s">
        <v>705</v>
      </c>
      <c r="C62" s="156"/>
      <c r="D62" s="156"/>
      <c r="E62" s="156"/>
      <c r="F62" s="156"/>
      <c r="G62" s="156"/>
      <c r="H62" s="156"/>
      <c r="I62" s="156"/>
      <c r="J62" s="156"/>
      <c r="K62" s="156"/>
      <c r="L62" s="156"/>
      <c r="M62" s="156"/>
      <c r="N62" s="156"/>
    </row>
    <row r="63" ht="39.75" customHeight="1">
      <c r="A63" s="172"/>
      <c r="B63" s="189" t="s">
        <v>706</v>
      </c>
      <c r="C63" s="189" t="s">
        <v>707</v>
      </c>
      <c r="D63" s="190" t="s">
        <v>645</v>
      </c>
      <c r="E63" s="191" t="s">
        <v>698</v>
      </c>
      <c r="F63" s="191" t="s">
        <v>708</v>
      </c>
      <c r="G63" s="191" t="s">
        <v>709</v>
      </c>
      <c r="H63" s="191" t="s">
        <v>710</v>
      </c>
      <c r="I63" s="192" t="s">
        <v>701</v>
      </c>
      <c r="J63" s="193" t="s">
        <v>711</v>
      </c>
      <c r="K63" s="194" t="s">
        <v>712</v>
      </c>
      <c r="L63" s="176" t="s">
        <v>713</v>
      </c>
      <c r="M63" s="176" t="s">
        <v>652</v>
      </c>
      <c r="N63" s="172"/>
    </row>
    <row r="64">
      <c r="A64" s="119"/>
      <c r="B64" s="195"/>
      <c r="C64" s="196"/>
      <c r="D64" s="179"/>
      <c r="E64" s="179"/>
      <c r="F64" s="179"/>
      <c r="G64" s="179"/>
      <c r="H64" s="179"/>
      <c r="I64" s="179"/>
      <c r="J64" s="198"/>
      <c r="K64" s="199"/>
      <c r="L64" s="182"/>
      <c r="M64" s="183"/>
      <c r="N64" s="119"/>
    </row>
    <row r="65">
      <c r="A65" s="119"/>
      <c r="B65" s="202"/>
      <c r="C65" s="196"/>
      <c r="D65" s="179"/>
      <c r="E65" s="179"/>
      <c r="F65" s="179"/>
      <c r="G65" s="179"/>
      <c r="H65" s="179"/>
      <c r="I65" s="179"/>
      <c r="J65" s="198"/>
      <c r="K65" s="199"/>
      <c r="L65" s="182"/>
      <c r="M65" s="183"/>
      <c r="N65" s="119"/>
    </row>
    <row r="66">
      <c r="A66" s="119"/>
      <c r="B66" s="202"/>
      <c r="C66" s="196"/>
      <c r="D66" s="179"/>
      <c r="E66" s="179"/>
      <c r="F66" s="179"/>
      <c r="G66" s="179"/>
      <c r="H66" s="179"/>
      <c r="I66" s="179"/>
      <c r="J66" s="198"/>
      <c r="K66" s="199"/>
      <c r="L66" s="182"/>
      <c r="M66" s="183"/>
      <c r="N66" s="119"/>
    </row>
    <row r="67">
      <c r="A67" s="119"/>
      <c r="B67" s="202"/>
      <c r="C67" s="196"/>
      <c r="D67" s="179"/>
      <c r="E67" s="179"/>
      <c r="F67" s="179"/>
      <c r="G67" s="179"/>
      <c r="H67" s="179"/>
      <c r="I67" s="179"/>
      <c r="J67" s="201"/>
      <c r="K67" s="199"/>
      <c r="L67" s="182"/>
      <c r="M67" s="183"/>
      <c r="N67" s="119"/>
    </row>
    <row r="68">
      <c r="A68" s="119"/>
      <c r="B68" s="202"/>
      <c r="C68" s="196"/>
      <c r="D68" s="179"/>
      <c r="E68" s="179"/>
      <c r="F68" s="179"/>
      <c r="G68" s="179"/>
      <c r="H68" s="179"/>
      <c r="I68" s="179"/>
      <c r="J68" s="201"/>
      <c r="K68" s="199"/>
      <c r="L68" s="182"/>
      <c r="M68" s="183"/>
      <c r="N68" s="119"/>
    </row>
    <row r="69">
      <c r="A69" s="119"/>
      <c r="B69" s="202"/>
      <c r="C69" s="196"/>
      <c r="D69" s="179"/>
      <c r="E69" s="179"/>
      <c r="F69" s="179"/>
      <c r="G69" s="179"/>
      <c r="H69" s="179"/>
      <c r="I69" s="179"/>
      <c r="J69" s="201"/>
      <c r="K69" s="199"/>
      <c r="L69" s="182"/>
      <c r="M69" s="183"/>
      <c r="N69" s="119"/>
    </row>
    <row r="70">
      <c r="A70" s="119"/>
      <c r="B70" s="202"/>
      <c r="C70" s="196"/>
      <c r="D70" s="197"/>
      <c r="E70" s="179"/>
      <c r="F70" s="179"/>
      <c r="G70" s="179"/>
      <c r="H70" s="179"/>
      <c r="I70" s="179"/>
      <c r="J70" s="201"/>
      <c r="K70" s="199"/>
      <c r="L70" s="182"/>
      <c r="M70" s="183"/>
      <c r="N70" s="119"/>
    </row>
    <row r="71">
      <c r="A71" s="119"/>
      <c r="B71" s="202"/>
      <c r="C71" s="196"/>
      <c r="D71" s="197"/>
      <c r="E71" s="179"/>
      <c r="F71" s="179"/>
      <c r="G71" s="179"/>
      <c r="H71" s="179"/>
      <c r="I71" s="179"/>
      <c r="J71" s="201"/>
      <c r="K71" s="199"/>
      <c r="L71" s="182"/>
      <c r="M71" s="183"/>
      <c r="N71" s="119"/>
    </row>
    <row r="72">
      <c r="A72" s="119"/>
      <c r="B72" s="202"/>
      <c r="C72" s="196"/>
      <c r="D72" s="197"/>
      <c r="E72" s="179"/>
      <c r="F72" s="179"/>
      <c r="G72" s="179"/>
      <c r="H72" s="179"/>
      <c r="I72" s="179"/>
      <c r="J72" s="201"/>
      <c r="K72" s="199"/>
      <c r="L72" s="182"/>
      <c r="M72" s="183"/>
      <c r="N72" s="119"/>
    </row>
    <row r="73">
      <c r="A73" s="119"/>
      <c r="B73" s="202"/>
      <c r="C73" s="196"/>
      <c r="D73" s="197"/>
      <c r="E73" s="179"/>
      <c r="F73" s="179"/>
      <c r="G73" s="179"/>
      <c r="H73" s="179"/>
      <c r="I73" s="179"/>
      <c r="J73" s="201"/>
      <c r="K73" s="199"/>
      <c r="L73" s="182"/>
      <c r="M73" s="183"/>
      <c r="N73" s="119"/>
    </row>
    <row r="74">
      <c r="A74" s="119"/>
      <c r="B74" s="202"/>
      <c r="C74" s="196"/>
      <c r="D74" s="197"/>
      <c r="E74" s="179"/>
      <c r="F74" s="179"/>
      <c r="G74" s="179"/>
      <c r="H74" s="179"/>
      <c r="I74" s="179"/>
      <c r="J74" s="201"/>
      <c r="K74" s="199"/>
      <c r="L74" s="182"/>
      <c r="M74" s="183"/>
      <c r="N74" s="119"/>
    </row>
    <row r="75">
      <c r="A75" s="119"/>
      <c r="B75" s="202"/>
      <c r="C75" s="196"/>
      <c r="D75" s="197"/>
      <c r="E75" s="179"/>
      <c r="F75" s="179"/>
      <c r="G75" s="179"/>
      <c r="H75" s="179"/>
      <c r="I75" s="179"/>
      <c r="J75" s="201"/>
      <c r="K75" s="199"/>
      <c r="L75" s="182"/>
      <c r="M75" s="183"/>
      <c r="N75" s="119"/>
    </row>
    <row r="76">
      <c r="A76" s="119"/>
      <c r="B76" s="202"/>
      <c r="C76" s="196"/>
      <c r="D76" s="197"/>
      <c r="E76" s="179"/>
      <c r="F76" s="179"/>
      <c r="G76" s="179"/>
      <c r="H76" s="179"/>
      <c r="I76" s="179"/>
      <c r="J76" s="201"/>
      <c r="K76" s="199"/>
      <c r="L76" s="182"/>
      <c r="M76" s="183"/>
      <c r="N76" s="119"/>
    </row>
    <row r="77">
      <c r="A77" s="119"/>
      <c r="B77" s="202"/>
      <c r="C77" s="196"/>
      <c r="D77" s="197"/>
      <c r="E77" s="179"/>
      <c r="F77" s="179"/>
      <c r="G77" s="179"/>
      <c r="H77" s="179"/>
      <c r="I77" s="179"/>
      <c r="J77" s="201"/>
      <c r="K77" s="199"/>
      <c r="L77" s="182"/>
      <c r="M77" s="183"/>
      <c r="N77" s="119"/>
    </row>
    <row r="78">
      <c r="A78" s="119"/>
      <c r="B78" s="202"/>
      <c r="C78" s="196"/>
      <c r="D78" s="197"/>
      <c r="E78" s="179"/>
      <c r="F78" s="179"/>
      <c r="G78" s="179"/>
      <c r="H78" s="179"/>
      <c r="I78" s="179"/>
      <c r="J78" s="201"/>
      <c r="K78" s="199"/>
      <c r="L78" s="182"/>
      <c r="M78" s="183"/>
      <c r="N78" s="119"/>
    </row>
    <row r="79">
      <c r="A79" s="119"/>
      <c r="B79" s="202"/>
      <c r="C79" s="196"/>
      <c r="D79" s="197"/>
      <c r="E79" s="179"/>
      <c r="F79" s="179"/>
      <c r="G79" s="179"/>
      <c r="H79" s="179"/>
      <c r="I79" s="179"/>
      <c r="J79" s="201"/>
      <c r="K79" s="199"/>
      <c r="L79" s="182"/>
      <c r="M79" s="183"/>
      <c r="N79" s="119"/>
    </row>
    <row r="80">
      <c r="A80" s="119"/>
      <c r="B80" s="202"/>
      <c r="C80" s="196"/>
      <c r="D80" s="197"/>
      <c r="E80" s="179"/>
      <c r="F80" s="179"/>
      <c r="G80" s="179"/>
      <c r="H80" s="179"/>
      <c r="I80" s="179"/>
      <c r="J80" s="201"/>
      <c r="K80" s="199"/>
      <c r="L80" s="182"/>
      <c r="M80" s="183"/>
      <c r="N80" s="119"/>
    </row>
    <row r="81">
      <c r="A81" s="119"/>
      <c r="B81" s="202"/>
      <c r="C81" s="196"/>
      <c r="D81" s="197"/>
      <c r="E81" s="179"/>
      <c r="F81" s="179"/>
      <c r="G81" s="179"/>
      <c r="H81" s="179"/>
      <c r="I81" s="179"/>
      <c r="J81" s="201"/>
      <c r="K81" s="199"/>
      <c r="L81" s="182"/>
      <c r="M81" s="183"/>
      <c r="N81" s="119"/>
    </row>
    <row r="82">
      <c r="A82" s="119"/>
      <c r="B82" s="202"/>
      <c r="C82" s="196"/>
      <c r="D82" s="197"/>
      <c r="E82" s="179"/>
      <c r="F82" s="179"/>
      <c r="G82" s="179"/>
      <c r="H82" s="179"/>
      <c r="I82" s="179"/>
      <c r="J82" s="201"/>
      <c r="K82" s="199"/>
      <c r="L82" s="182"/>
      <c r="M82" s="183"/>
      <c r="N82" s="119"/>
    </row>
    <row r="83">
      <c r="A83" s="119"/>
      <c r="B83" s="202"/>
      <c r="C83" s="196"/>
      <c r="D83" s="197"/>
      <c r="E83" s="179"/>
      <c r="F83" s="179"/>
      <c r="G83" s="179"/>
      <c r="H83" s="179"/>
      <c r="I83" s="179"/>
      <c r="J83" s="201"/>
      <c r="K83" s="199"/>
      <c r="L83" s="182"/>
      <c r="M83" s="183"/>
      <c r="N83" s="119"/>
    </row>
    <row r="84">
      <c r="A84" s="119"/>
      <c r="B84" s="202"/>
      <c r="C84" s="196"/>
      <c r="D84" s="197"/>
      <c r="E84" s="179"/>
      <c r="F84" s="179"/>
      <c r="G84" s="179"/>
      <c r="H84" s="179"/>
      <c r="I84" s="179"/>
      <c r="J84" s="201"/>
      <c r="K84" s="199"/>
      <c r="L84" s="182"/>
      <c r="M84" s="183"/>
      <c r="N84" s="119"/>
    </row>
    <row r="85">
      <c r="A85" s="119"/>
      <c r="B85" s="202"/>
      <c r="C85" s="196"/>
      <c r="D85" s="197"/>
      <c r="E85" s="179"/>
      <c r="F85" s="179"/>
      <c r="G85" s="179"/>
      <c r="H85" s="179"/>
      <c r="I85" s="179"/>
      <c r="J85" s="201"/>
      <c r="K85" s="199"/>
      <c r="L85" s="182"/>
      <c r="M85" s="183"/>
      <c r="N85" s="119"/>
    </row>
    <row r="86">
      <c r="A86" s="119"/>
      <c r="B86" s="202"/>
      <c r="C86" s="196"/>
      <c r="D86" s="197"/>
      <c r="E86" s="179"/>
      <c r="F86" s="179"/>
      <c r="G86" s="179"/>
      <c r="H86" s="179"/>
      <c r="I86" s="179"/>
      <c r="J86" s="201"/>
      <c r="K86" s="199"/>
      <c r="L86" s="182"/>
      <c r="M86" s="183"/>
      <c r="N86" s="119"/>
    </row>
    <row r="87">
      <c r="A87" s="119"/>
      <c r="B87" s="202"/>
      <c r="C87" s="196"/>
      <c r="D87" s="197"/>
      <c r="E87" s="179"/>
      <c r="F87" s="179"/>
      <c r="G87" s="179"/>
      <c r="H87" s="179"/>
      <c r="I87" s="179"/>
      <c r="J87" s="201"/>
      <c r="K87" s="199"/>
      <c r="L87" s="182"/>
      <c r="M87" s="183"/>
      <c r="N87" s="119"/>
    </row>
    <row r="88">
      <c r="A88" s="119"/>
      <c r="B88" s="202"/>
      <c r="C88" s="196"/>
      <c r="D88" s="197"/>
      <c r="E88" s="179"/>
      <c r="F88" s="179"/>
      <c r="G88" s="179"/>
      <c r="H88" s="179"/>
      <c r="I88" s="179"/>
      <c r="J88" s="201"/>
      <c r="K88" s="199"/>
      <c r="L88" s="182"/>
      <c r="M88" s="183"/>
      <c r="N88" s="119"/>
    </row>
    <row r="89">
      <c r="A89" s="119"/>
      <c r="B89" s="202"/>
      <c r="C89" s="196"/>
      <c r="D89" s="197"/>
      <c r="E89" s="179"/>
      <c r="F89" s="179"/>
      <c r="G89" s="179"/>
      <c r="H89" s="179"/>
      <c r="I89" s="179"/>
      <c r="J89" s="201"/>
      <c r="K89" s="199"/>
      <c r="L89" s="182"/>
      <c r="M89" s="183"/>
      <c r="N89" s="119"/>
    </row>
    <row r="90">
      <c r="A90" s="119"/>
      <c r="B90" s="202"/>
      <c r="C90" s="196"/>
      <c r="D90" s="197"/>
      <c r="E90" s="179"/>
      <c r="F90" s="179"/>
      <c r="G90" s="179"/>
      <c r="H90" s="179"/>
      <c r="I90" s="179"/>
      <c r="J90" s="201"/>
      <c r="K90" s="199"/>
      <c r="L90" s="182"/>
      <c r="M90" s="183"/>
      <c r="N90" s="119"/>
    </row>
    <row r="91">
      <c r="A91" s="119"/>
      <c r="B91" s="202"/>
      <c r="C91" s="196"/>
      <c r="D91" s="197"/>
      <c r="E91" s="179"/>
      <c r="F91" s="179"/>
      <c r="G91" s="179"/>
      <c r="H91" s="179"/>
      <c r="I91" s="179"/>
      <c r="J91" s="201"/>
      <c r="K91" s="199"/>
      <c r="L91" s="182"/>
      <c r="M91" s="183"/>
      <c r="N91" s="119"/>
    </row>
    <row r="92">
      <c r="A92" s="119"/>
      <c r="B92" s="202"/>
      <c r="C92" s="196"/>
      <c r="D92" s="197"/>
      <c r="E92" s="179"/>
      <c r="F92" s="179"/>
      <c r="G92" s="179"/>
      <c r="H92" s="179"/>
      <c r="I92" s="179"/>
      <c r="J92" s="201"/>
      <c r="K92" s="199"/>
      <c r="L92" s="182"/>
      <c r="M92" s="183"/>
      <c r="N92" s="119"/>
    </row>
    <row r="93">
      <c r="A93" s="119"/>
      <c r="B93" s="202"/>
      <c r="C93" s="196"/>
      <c r="D93" s="197"/>
      <c r="E93" s="179"/>
      <c r="F93" s="179"/>
      <c r="G93" s="179"/>
      <c r="H93" s="179"/>
      <c r="I93" s="179"/>
      <c r="J93" s="201"/>
      <c r="K93" s="199"/>
      <c r="L93" s="182"/>
      <c r="M93" s="183"/>
      <c r="N93" s="119"/>
    </row>
    <row r="94">
      <c r="A94" s="119"/>
      <c r="B94" s="202"/>
      <c r="C94" s="196"/>
      <c r="D94" s="197"/>
      <c r="E94" s="179"/>
      <c r="F94" s="179"/>
      <c r="G94" s="179"/>
      <c r="H94" s="179"/>
      <c r="I94" s="179"/>
      <c r="J94" s="201"/>
      <c r="K94" s="199"/>
      <c r="L94" s="182"/>
      <c r="M94" s="183"/>
      <c r="N94" s="119"/>
    </row>
    <row r="95">
      <c r="A95" s="119"/>
      <c r="B95" s="202"/>
      <c r="C95" s="196"/>
      <c r="D95" s="197"/>
      <c r="E95" s="179"/>
      <c r="F95" s="179"/>
      <c r="G95" s="179"/>
      <c r="H95" s="179"/>
      <c r="I95" s="179"/>
      <c r="J95" s="201"/>
      <c r="K95" s="199"/>
      <c r="L95" s="182"/>
      <c r="M95" s="183"/>
      <c r="N95" s="119"/>
    </row>
    <row r="96">
      <c r="A96" s="119"/>
      <c r="B96" s="202"/>
      <c r="C96" s="196"/>
      <c r="D96" s="197"/>
      <c r="E96" s="179"/>
      <c r="F96" s="179"/>
      <c r="G96" s="179"/>
      <c r="H96" s="179"/>
      <c r="I96" s="179"/>
      <c r="J96" s="201"/>
      <c r="K96" s="199"/>
      <c r="L96" s="182"/>
      <c r="M96" s="183"/>
      <c r="N96" s="119"/>
    </row>
    <row r="97">
      <c r="A97" s="119"/>
      <c r="B97" s="202"/>
      <c r="C97" s="196"/>
      <c r="D97" s="197"/>
      <c r="E97" s="179"/>
      <c r="F97" s="179"/>
      <c r="G97" s="179"/>
      <c r="H97" s="179"/>
      <c r="I97" s="179"/>
      <c r="J97" s="201"/>
      <c r="K97" s="199"/>
      <c r="L97" s="182"/>
      <c r="M97" s="183"/>
      <c r="N97" s="119"/>
    </row>
    <row r="98">
      <c r="A98" s="119"/>
      <c r="B98" s="202"/>
      <c r="C98" s="196"/>
      <c r="D98" s="197"/>
      <c r="E98" s="179"/>
      <c r="F98" s="179"/>
      <c r="G98" s="179"/>
      <c r="H98" s="179"/>
      <c r="I98" s="179"/>
      <c r="J98" s="201"/>
      <c r="K98" s="199"/>
      <c r="L98" s="182"/>
      <c r="M98" s="183"/>
      <c r="N98" s="119"/>
    </row>
    <row r="99">
      <c r="A99" s="119"/>
      <c r="B99" s="202"/>
      <c r="C99" s="196"/>
      <c r="D99" s="197"/>
      <c r="E99" s="179"/>
      <c r="F99" s="179"/>
      <c r="G99" s="179"/>
      <c r="H99" s="179"/>
      <c r="I99" s="179"/>
      <c r="J99" s="201"/>
      <c r="K99" s="199"/>
      <c r="L99" s="182"/>
      <c r="M99" s="183"/>
      <c r="N99" s="119"/>
    </row>
    <row r="100">
      <c r="A100" s="119"/>
      <c r="B100" s="202"/>
      <c r="C100" s="196"/>
      <c r="D100" s="197"/>
      <c r="E100" s="179"/>
      <c r="F100" s="179"/>
      <c r="G100" s="179"/>
      <c r="H100" s="179"/>
      <c r="I100" s="179"/>
      <c r="J100" s="201"/>
      <c r="K100" s="199"/>
      <c r="L100" s="182"/>
      <c r="M100" s="183"/>
      <c r="N100" s="119"/>
    </row>
    <row r="101">
      <c r="A101" s="119"/>
      <c r="B101" s="202"/>
      <c r="C101" s="196"/>
      <c r="D101" s="197"/>
      <c r="E101" s="179"/>
      <c r="F101" s="179"/>
      <c r="G101" s="179"/>
      <c r="H101" s="179"/>
      <c r="I101" s="179"/>
      <c r="J101" s="201"/>
      <c r="K101" s="199"/>
      <c r="L101" s="182"/>
      <c r="M101" s="183"/>
      <c r="N101" s="119"/>
    </row>
    <row r="102">
      <c r="A102" s="119"/>
      <c r="B102" s="202"/>
      <c r="C102" s="196"/>
      <c r="D102" s="197"/>
      <c r="E102" s="179"/>
      <c r="F102" s="179"/>
      <c r="G102" s="179"/>
      <c r="H102" s="179"/>
      <c r="I102" s="179"/>
      <c r="J102" s="201"/>
      <c r="K102" s="199"/>
      <c r="L102" s="182"/>
      <c r="M102" s="183"/>
      <c r="N102" s="119"/>
    </row>
    <row r="103">
      <c r="A103" s="119"/>
      <c r="B103" s="202"/>
      <c r="C103" s="196"/>
      <c r="D103" s="197"/>
      <c r="E103" s="179"/>
      <c r="F103" s="179"/>
      <c r="G103" s="179"/>
      <c r="H103" s="179"/>
      <c r="I103" s="179"/>
      <c r="J103" s="201"/>
      <c r="K103" s="199"/>
      <c r="L103" s="182"/>
      <c r="M103" s="183"/>
      <c r="N103" s="119"/>
    </row>
    <row r="104">
      <c r="A104" s="119"/>
      <c r="B104" s="202"/>
      <c r="C104" s="196"/>
      <c r="D104" s="197"/>
      <c r="E104" s="179"/>
      <c r="F104" s="179"/>
      <c r="G104" s="179"/>
      <c r="H104" s="179"/>
      <c r="I104" s="179"/>
      <c r="J104" s="201"/>
      <c r="K104" s="199"/>
      <c r="L104" s="182"/>
      <c r="M104" s="183"/>
      <c r="N104" s="119"/>
    </row>
    <row r="105">
      <c r="A105" s="119"/>
      <c r="B105" s="202"/>
      <c r="C105" s="196"/>
      <c r="D105" s="197"/>
      <c r="E105" s="179"/>
      <c r="F105" s="179"/>
      <c r="G105" s="179"/>
      <c r="H105" s="179"/>
      <c r="I105" s="179"/>
      <c r="J105" s="201"/>
      <c r="K105" s="199"/>
      <c r="L105" s="182"/>
      <c r="M105" s="183"/>
      <c r="N105" s="119"/>
    </row>
    <row r="106">
      <c r="A106" s="119"/>
      <c r="B106" s="202"/>
      <c r="C106" s="196"/>
      <c r="D106" s="197"/>
      <c r="E106" s="179"/>
      <c r="F106" s="179"/>
      <c r="G106" s="179"/>
      <c r="H106" s="179"/>
      <c r="I106" s="179"/>
      <c r="J106" s="201"/>
      <c r="K106" s="199"/>
      <c r="L106" s="182"/>
      <c r="M106" s="183"/>
      <c r="N106" s="119"/>
    </row>
    <row r="107">
      <c r="A107" s="119"/>
      <c r="B107" s="202"/>
      <c r="C107" s="196"/>
      <c r="D107" s="197"/>
      <c r="E107" s="179"/>
      <c r="F107" s="179"/>
      <c r="G107" s="179"/>
      <c r="H107" s="179"/>
      <c r="I107" s="179"/>
      <c r="J107" s="201"/>
      <c r="K107" s="199"/>
      <c r="L107" s="182"/>
      <c r="M107" s="183"/>
      <c r="N107" s="119"/>
    </row>
    <row r="108">
      <c r="A108" s="119"/>
      <c r="B108" s="202"/>
      <c r="C108" s="196"/>
      <c r="D108" s="197"/>
      <c r="E108" s="179"/>
      <c r="F108" s="179"/>
      <c r="G108" s="179"/>
      <c r="H108" s="179"/>
      <c r="I108" s="179"/>
      <c r="J108" s="201"/>
      <c r="K108" s="199"/>
      <c r="L108" s="182"/>
      <c r="M108" s="183"/>
      <c r="N108" s="119"/>
    </row>
    <row r="109">
      <c r="A109" s="119"/>
      <c r="B109" s="202"/>
      <c r="C109" s="196"/>
      <c r="D109" s="197"/>
      <c r="E109" s="179"/>
      <c r="F109" s="179"/>
      <c r="G109" s="179"/>
      <c r="H109" s="179"/>
      <c r="I109" s="179"/>
      <c r="J109" s="201"/>
      <c r="K109" s="199"/>
      <c r="L109" s="182"/>
      <c r="M109" s="183"/>
      <c r="N109" s="119"/>
    </row>
    <row r="110">
      <c r="A110" s="119"/>
      <c r="B110" s="202"/>
      <c r="C110" s="196"/>
      <c r="D110" s="197"/>
      <c r="E110" s="179"/>
      <c r="F110" s="179"/>
      <c r="G110" s="179"/>
      <c r="H110" s="179"/>
      <c r="I110" s="179"/>
      <c r="J110" s="201"/>
      <c r="K110" s="199"/>
      <c r="L110" s="182"/>
      <c r="M110" s="183"/>
      <c r="N110" s="119"/>
    </row>
    <row r="111">
      <c r="A111" s="119"/>
      <c r="B111" s="202"/>
      <c r="C111" s="196"/>
      <c r="D111" s="197"/>
      <c r="E111" s="179"/>
      <c r="F111" s="179"/>
      <c r="G111" s="179"/>
      <c r="H111" s="179"/>
      <c r="I111" s="179"/>
      <c r="J111" s="201"/>
      <c r="K111" s="199"/>
      <c r="L111" s="182"/>
      <c r="M111" s="183"/>
      <c r="N111" s="119"/>
    </row>
    <row r="112">
      <c r="A112" s="119"/>
      <c r="B112" s="202"/>
      <c r="C112" s="196"/>
      <c r="D112" s="197"/>
      <c r="E112" s="179"/>
      <c r="F112" s="179"/>
      <c r="G112" s="179"/>
      <c r="H112" s="179"/>
      <c r="I112" s="179"/>
      <c r="J112" s="201"/>
      <c r="K112" s="199"/>
      <c r="L112" s="182"/>
      <c r="M112" s="183"/>
      <c r="N112" s="119"/>
    </row>
    <row r="113">
      <c r="A113" s="119"/>
      <c r="B113" s="202"/>
      <c r="C113" s="196"/>
      <c r="D113" s="197"/>
      <c r="E113" s="179"/>
      <c r="F113" s="179"/>
      <c r="G113" s="179"/>
      <c r="H113" s="179"/>
      <c r="I113" s="179"/>
      <c r="J113" s="201"/>
      <c r="K113" s="199"/>
      <c r="L113" s="182"/>
      <c r="M113" s="183"/>
      <c r="N113" s="119"/>
    </row>
    <row r="114">
      <c r="A114" s="119"/>
      <c r="B114" s="202"/>
      <c r="C114" s="196"/>
      <c r="D114" s="197"/>
      <c r="E114" s="179"/>
      <c r="F114" s="179"/>
      <c r="G114" s="179"/>
      <c r="H114" s="179"/>
      <c r="I114" s="179"/>
      <c r="J114" s="201"/>
      <c r="K114" s="199"/>
      <c r="L114" s="182"/>
      <c r="M114" s="183"/>
      <c r="N114" s="119"/>
    </row>
    <row r="115">
      <c r="A115" s="119"/>
      <c r="B115" s="202"/>
      <c r="C115" s="196"/>
      <c r="D115" s="197"/>
      <c r="E115" s="179"/>
      <c r="F115" s="179"/>
      <c r="G115" s="179"/>
      <c r="H115" s="179"/>
      <c r="I115" s="179"/>
      <c r="J115" s="201"/>
      <c r="K115" s="199"/>
      <c r="L115" s="182"/>
      <c r="M115" s="183"/>
      <c r="N115" s="119"/>
    </row>
    <row r="116">
      <c r="A116" s="119"/>
      <c r="B116" s="202"/>
      <c r="C116" s="196"/>
      <c r="D116" s="197"/>
      <c r="E116" s="179"/>
      <c r="F116" s="179"/>
      <c r="G116" s="179"/>
      <c r="H116" s="179"/>
      <c r="I116" s="179"/>
      <c r="J116" s="201"/>
      <c r="K116" s="199"/>
      <c r="L116" s="182"/>
      <c r="M116" s="183"/>
      <c r="N116" s="119"/>
    </row>
    <row r="117">
      <c r="A117" s="119"/>
      <c r="B117" s="202"/>
      <c r="C117" s="196"/>
      <c r="D117" s="197"/>
      <c r="E117" s="179"/>
      <c r="F117" s="179"/>
      <c r="G117" s="179"/>
      <c r="H117" s="179"/>
      <c r="I117" s="179"/>
      <c r="J117" s="201"/>
      <c r="K117" s="199"/>
      <c r="L117" s="182"/>
      <c r="M117" s="183"/>
      <c r="N117" s="119"/>
    </row>
    <row r="118">
      <c r="A118" s="119"/>
      <c r="B118" s="202"/>
      <c r="C118" s="196"/>
      <c r="D118" s="197"/>
      <c r="E118" s="179"/>
      <c r="F118" s="179"/>
      <c r="G118" s="179"/>
      <c r="H118" s="179"/>
      <c r="I118" s="179"/>
      <c r="J118" s="201"/>
      <c r="K118" s="199"/>
      <c r="L118" s="182"/>
      <c r="M118" s="183"/>
      <c r="N118" s="119"/>
    </row>
    <row r="119">
      <c r="A119" s="119"/>
      <c r="B119" s="202"/>
      <c r="C119" s="196"/>
      <c r="D119" s="197"/>
      <c r="E119" s="179"/>
      <c r="F119" s="179"/>
      <c r="G119" s="179"/>
      <c r="H119" s="179"/>
      <c r="I119" s="179"/>
      <c r="J119" s="201"/>
      <c r="K119" s="199"/>
      <c r="L119" s="182"/>
      <c r="M119" s="183"/>
      <c r="N119" s="119"/>
    </row>
    <row r="120">
      <c r="A120" s="119"/>
      <c r="B120" s="202"/>
      <c r="C120" s="196"/>
      <c r="D120" s="197"/>
      <c r="E120" s="179"/>
      <c r="F120" s="179"/>
      <c r="G120" s="179"/>
      <c r="H120" s="179"/>
      <c r="I120" s="179"/>
      <c r="J120" s="201"/>
      <c r="K120" s="199"/>
      <c r="L120" s="182"/>
      <c r="M120" s="183"/>
      <c r="N120" s="119"/>
    </row>
    <row r="121">
      <c r="A121" s="119"/>
      <c r="B121" s="202"/>
      <c r="C121" s="196"/>
      <c r="D121" s="197"/>
      <c r="E121" s="179"/>
      <c r="F121" s="179"/>
      <c r="G121" s="179"/>
      <c r="H121" s="179"/>
      <c r="I121" s="179"/>
      <c r="J121" s="201"/>
      <c r="K121" s="199"/>
      <c r="L121" s="182"/>
      <c r="M121" s="183"/>
      <c r="N121" s="119"/>
    </row>
    <row r="122">
      <c r="A122" s="119"/>
      <c r="B122" s="202"/>
      <c r="C122" s="196"/>
      <c r="D122" s="197"/>
      <c r="E122" s="179"/>
      <c r="F122" s="179"/>
      <c r="G122" s="179"/>
      <c r="H122" s="179"/>
      <c r="I122" s="179"/>
      <c r="J122" s="201"/>
      <c r="K122" s="199"/>
      <c r="L122" s="182"/>
      <c r="M122" s="183"/>
      <c r="N122" s="119"/>
    </row>
    <row r="123">
      <c r="A123" s="119"/>
      <c r="B123" s="202"/>
      <c r="C123" s="196"/>
      <c r="D123" s="197"/>
      <c r="E123" s="179"/>
      <c r="F123" s="179"/>
      <c r="G123" s="179"/>
      <c r="H123" s="179"/>
      <c r="I123" s="179"/>
      <c r="J123" s="201"/>
      <c r="K123" s="199"/>
      <c r="L123" s="182"/>
      <c r="M123" s="183"/>
      <c r="N123" s="119"/>
    </row>
    <row r="124">
      <c r="A124" s="119"/>
      <c r="B124" s="202"/>
      <c r="C124" s="196"/>
      <c r="D124" s="197"/>
      <c r="E124" s="179"/>
      <c r="F124" s="179"/>
      <c r="G124" s="179"/>
      <c r="H124" s="179"/>
      <c r="I124" s="179"/>
      <c r="J124" s="201"/>
      <c r="K124" s="199"/>
      <c r="L124" s="182"/>
      <c r="M124" s="183"/>
      <c r="N124" s="119"/>
    </row>
    <row r="125">
      <c r="A125" s="119"/>
      <c r="B125" s="202"/>
      <c r="C125" s="196"/>
      <c r="D125" s="197"/>
      <c r="E125" s="179"/>
      <c r="F125" s="179"/>
      <c r="G125" s="179"/>
      <c r="H125" s="179"/>
      <c r="I125" s="179"/>
      <c r="J125" s="201"/>
      <c r="K125" s="199"/>
      <c r="L125" s="182"/>
      <c r="M125" s="183"/>
      <c r="N125" s="119"/>
    </row>
    <row r="126">
      <c r="A126" s="119"/>
      <c r="B126" s="202"/>
      <c r="C126" s="196"/>
      <c r="D126" s="197"/>
      <c r="E126" s="179"/>
      <c r="F126" s="179"/>
      <c r="G126" s="179"/>
      <c r="H126" s="179"/>
      <c r="I126" s="179"/>
      <c r="J126" s="201"/>
      <c r="K126" s="199"/>
      <c r="L126" s="182"/>
      <c r="M126" s="183"/>
      <c r="N126" s="119"/>
    </row>
    <row r="127">
      <c r="A127" s="119"/>
      <c r="B127" s="202"/>
      <c r="C127" s="196"/>
      <c r="D127" s="197"/>
      <c r="E127" s="179"/>
      <c r="F127" s="179"/>
      <c r="G127" s="179"/>
      <c r="H127" s="179"/>
      <c r="I127" s="179"/>
      <c r="J127" s="201"/>
      <c r="K127" s="199"/>
      <c r="L127" s="182"/>
      <c r="M127" s="183"/>
      <c r="N127" s="119"/>
    </row>
    <row r="128">
      <c r="A128" s="119"/>
      <c r="B128" s="202"/>
      <c r="C128" s="196"/>
      <c r="D128" s="197"/>
      <c r="E128" s="179"/>
      <c r="F128" s="179"/>
      <c r="G128" s="179"/>
      <c r="H128" s="179"/>
      <c r="I128" s="179"/>
      <c r="J128" s="201"/>
      <c r="K128" s="199"/>
      <c r="L128" s="182"/>
      <c r="M128" s="183"/>
      <c r="N128" s="119"/>
    </row>
    <row r="129">
      <c r="A129" s="119"/>
      <c r="B129" s="202"/>
      <c r="C129" s="196"/>
      <c r="D129" s="197"/>
      <c r="E129" s="179"/>
      <c r="F129" s="179"/>
      <c r="G129" s="179"/>
      <c r="H129" s="179"/>
      <c r="I129" s="179"/>
      <c r="J129" s="201"/>
      <c r="K129" s="199"/>
      <c r="L129" s="182"/>
      <c r="M129" s="183"/>
      <c r="N129" s="119"/>
    </row>
    <row r="130">
      <c r="A130" s="119"/>
      <c r="B130" s="202"/>
      <c r="C130" s="196"/>
      <c r="D130" s="197"/>
      <c r="E130" s="179"/>
      <c r="F130" s="179"/>
      <c r="G130" s="179"/>
      <c r="H130" s="179"/>
      <c r="I130" s="179"/>
      <c r="J130" s="201"/>
      <c r="K130" s="199"/>
      <c r="L130" s="182"/>
      <c r="M130" s="183"/>
      <c r="N130" s="119"/>
    </row>
    <row r="131">
      <c r="A131" s="119"/>
      <c r="B131" s="202"/>
      <c r="C131" s="196"/>
      <c r="D131" s="197"/>
      <c r="E131" s="179"/>
      <c r="F131" s="179"/>
      <c r="G131" s="179"/>
      <c r="H131" s="179"/>
      <c r="I131" s="179"/>
      <c r="J131" s="201"/>
      <c r="K131" s="199"/>
      <c r="L131" s="182"/>
      <c r="M131" s="183"/>
      <c r="N131" s="119"/>
    </row>
    <row r="132">
      <c r="A132" s="119"/>
      <c r="B132" s="202"/>
      <c r="C132" s="196"/>
      <c r="D132" s="197"/>
      <c r="E132" s="179"/>
      <c r="F132" s="179"/>
      <c r="G132" s="179"/>
      <c r="H132" s="179"/>
      <c r="I132" s="179"/>
      <c r="J132" s="201"/>
      <c r="K132" s="199"/>
      <c r="L132" s="182"/>
      <c r="M132" s="183"/>
      <c r="N132" s="119"/>
    </row>
    <row r="133">
      <c r="A133" s="119"/>
      <c r="B133" s="202"/>
      <c r="C133" s="196"/>
      <c r="D133" s="197"/>
      <c r="E133" s="179"/>
      <c r="F133" s="179"/>
      <c r="G133" s="179"/>
      <c r="H133" s="179"/>
      <c r="I133" s="179"/>
      <c r="J133" s="201"/>
      <c r="K133" s="199"/>
      <c r="L133" s="182"/>
      <c r="M133" s="183"/>
      <c r="N133" s="119"/>
    </row>
    <row r="134">
      <c r="A134" s="119"/>
      <c r="B134" s="202"/>
      <c r="C134" s="196"/>
      <c r="D134" s="197"/>
      <c r="E134" s="179"/>
      <c r="F134" s="179"/>
      <c r="G134" s="179"/>
      <c r="H134" s="179"/>
      <c r="I134" s="179"/>
      <c r="J134" s="201"/>
      <c r="K134" s="199"/>
      <c r="L134" s="182"/>
      <c r="M134" s="183"/>
      <c r="N134" s="119"/>
    </row>
    <row r="135">
      <c r="A135" s="119"/>
      <c r="B135" s="202"/>
      <c r="C135" s="196"/>
      <c r="D135" s="197"/>
      <c r="E135" s="179"/>
      <c r="F135" s="179"/>
      <c r="G135" s="179"/>
      <c r="H135" s="179"/>
      <c r="I135" s="179"/>
      <c r="J135" s="201"/>
      <c r="K135" s="199"/>
      <c r="L135" s="182"/>
      <c r="M135" s="183"/>
      <c r="N135" s="119"/>
    </row>
    <row r="136">
      <c r="A136" s="119"/>
      <c r="B136" s="202"/>
      <c r="C136" s="196"/>
      <c r="D136" s="197"/>
      <c r="E136" s="179"/>
      <c r="F136" s="179"/>
      <c r="G136" s="179"/>
      <c r="H136" s="179"/>
      <c r="I136" s="179"/>
      <c r="J136" s="201"/>
      <c r="K136" s="199"/>
      <c r="L136" s="182"/>
      <c r="M136" s="183"/>
      <c r="N136" s="119"/>
    </row>
    <row r="137">
      <c r="A137" s="119"/>
      <c r="B137" s="202"/>
      <c r="C137" s="196"/>
      <c r="D137" s="197"/>
      <c r="E137" s="179"/>
      <c r="F137" s="179"/>
      <c r="G137" s="179"/>
      <c r="H137" s="179"/>
      <c r="I137" s="179"/>
      <c r="J137" s="201"/>
      <c r="K137" s="199"/>
      <c r="L137" s="182"/>
      <c r="M137" s="183"/>
      <c r="N137" s="119"/>
    </row>
    <row r="138">
      <c r="A138" s="119"/>
      <c r="B138" s="202"/>
      <c r="C138" s="196"/>
      <c r="D138" s="197"/>
      <c r="E138" s="179"/>
      <c r="F138" s="179"/>
      <c r="G138" s="179"/>
      <c r="H138" s="179"/>
      <c r="I138" s="179"/>
      <c r="J138" s="201"/>
      <c r="K138" s="199"/>
      <c r="L138" s="182"/>
      <c r="M138" s="183"/>
      <c r="N138" s="119"/>
    </row>
    <row r="139">
      <c r="A139" s="119"/>
      <c r="B139" s="202"/>
      <c r="C139" s="196"/>
      <c r="D139" s="197"/>
      <c r="E139" s="179"/>
      <c r="F139" s="179"/>
      <c r="G139" s="179"/>
      <c r="H139" s="179"/>
      <c r="I139" s="179"/>
      <c r="J139" s="201"/>
      <c r="K139" s="199"/>
      <c r="L139" s="182"/>
      <c r="M139" s="183"/>
      <c r="N139" s="119"/>
    </row>
    <row r="140">
      <c r="A140" s="119"/>
      <c r="B140" s="202"/>
      <c r="C140" s="196"/>
      <c r="D140" s="197"/>
      <c r="E140" s="179"/>
      <c r="F140" s="179"/>
      <c r="G140" s="179"/>
      <c r="H140" s="179"/>
      <c r="I140" s="179"/>
      <c r="J140" s="201"/>
      <c r="K140" s="199"/>
      <c r="L140" s="182"/>
      <c r="M140" s="183"/>
      <c r="N140" s="119"/>
    </row>
    <row r="141">
      <c r="A141" s="119"/>
      <c r="B141" s="202"/>
      <c r="C141" s="196"/>
      <c r="D141" s="197"/>
      <c r="E141" s="179"/>
      <c r="F141" s="179"/>
      <c r="G141" s="179"/>
      <c r="H141" s="179"/>
      <c r="I141" s="179"/>
      <c r="J141" s="201"/>
      <c r="K141" s="199"/>
      <c r="L141" s="182"/>
      <c r="M141" s="183"/>
      <c r="N141" s="119"/>
    </row>
    <row r="142">
      <c r="A142" s="119"/>
      <c r="B142" s="202"/>
      <c r="C142" s="196"/>
      <c r="D142" s="197"/>
      <c r="E142" s="179"/>
      <c r="F142" s="179"/>
      <c r="G142" s="179"/>
      <c r="H142" s="179"/>
      <c r="I142" s="179"/>
      <c r="J142" s="201"/>
      <c r="K142" s="199"/>
      <c r="L142" s="182"/>
      <c r="M142" s="183"/>
      <c r="N142" s="119"/>
    </row>
    <row r="143">
      <c r="A143" s="119"/>
      <c r="B143" s="202"/>
      <c r="C143" s="196"/>
      <c r="D143" s="197"/>
      <c r="E143" s="179"/>
      <c r="F143" s="179"/>
      <c r="G143" s="179"/>
      <c r="H143" s="179"/>
      <c r="I143" s="179"/>
      <c r="J143" s="201"/>
      <c r="K143" s="199"/>
      <c r="L143" s="182"/>
      <c r="M143" s="183"/>
      <c r="N143" s="119"/>
    </row>
    <row r="144">
      <c r="A144" s="119"/>
      <c r="B144" s="202"/>
      <c r="C144" s="196"/>
      <c r="D144" s="197"/>
      <c r="E144" s="179"/>
      <c r="F144" s="179"/>
      <c r="G144" s="179"/>
      <c r="H144" s="179"/>
      <c r="I144" s="179"/>
      <c r="J144" s="201"/>
      <c r="K144" s="199"/>
      <c r="L144" s="182"/>
      <c r="M144" s="183"/>
      <c r="N144" s="119"/>
    </row>
    <row r="145">
      <c r="A145" s="119"/>
      <c r="B145" s="202"/>
      <c r="C145" s="196"/>
      <c r="D145" s="197"/>
      <c r="E145" s="179"/>
      <c r="F145" s="179"/>
      <c r="G145" s="179"/>
      <c r="H145" s="179"/>
      <c r="I145" s="179"/>
      <c r="J145" s="201"/>
      <c r="K145" s="199"/>
      <c r="L145" s="182"/>
      <c r="M145" s="183"/>
      <c r="N145" s="119"/>
    </row>
    <row r="146">
      <c r="A146" s="119"/>
      <c r="B146" s="202"/>
      <c r="C146" s="196"/>
      <c r="D146" s="197"/>
      <c r="E146" s="179"/>
      <c r="F146" s="179"/>
      <c r="G146" s="179"/>
      <c r="H146" s="179"/>
      <c r="I146" s="179"/>
      <c r="J146" s="201"/>
      <c r="K146" s="199"/>
      <c r="L146" s="182"/>
      <c r="M146" s="183"/>
      <c r="N146" s="119"/>
    </row>
    <row r="147">
      <c r="A147" s="119"/>
      <c r="B147" s="202"/>
      <c r="C147" s="196"/>
      <c r="D147" s="197"/>
      <c r="E147" s="179"/>
      <c r="F147" s="179"/>
      <c r="G147" s="179"/>
      <c r="H147" s="179"/>
      <c r="I147" s="179"/>
      <c r="J147" s="201"/>
      <c r="K147" s="199"/>
      <c r="L147" s="182"/>
      <c r="M147" s="183"/>
      <c r="N147" s="119"/>
    </row>
    <row r="148">
      <c r="A148" s="119"/>
      <c r="B148" s="202"/>
      <c r="C148" s="196"/>
      <c r="D148" s="197"/>
      <c r="E148" s="179"/>
      <c r="F148" s="179"/>
      <c r="G148" s="179"/>
      <c r="H148" s="179"/>
      <c r="I148" s="179"/>
      <c r="J148" s="201"/>
      <c r="K148" s="199"/>
      <c r="L148" s="182"/>
      <c r="M148" s="183"/>
      <c r="N148" s="119"/>
    </row>
    <row r="149">
      <c r="A149" s="119"/>
      <c r="B149" s="202"/>
      <c r="C149" s="196"/>
      <c r="D149" s="197"/>
      <c r="E149" s="179"/>
      <c r="F149" s="179"/>
      <c r="G149" s="179"/>
      <c r="H149" s="179"/>
      <c r="I149" s="179"/>
      <c r="J149" s="201"/>
      <c r="K149" s="199"/>
      <c r="L149" s="182"/>
      <c r="M149" s="183"/>
      <c r="N149" s="119"/>
    </row>
    <row r="150">
      <c r="A150" s="119"/>
      <c r="B150" s="202"/>
      <c r="C150" s="196"/>
      <c r="D150" s="197"/>
      <c r="E150" s="179"/>
      <c r="F150" s="179"/>
      <c r="G150" s="179"/>
      <c r="H150" s="179"/>
      <c r="I150" s="179"/>
      <c r="J150" s="201"/>
      <c r="K150" s="199"/>
      <c r="L150" s="182"/>
      <c r="M150" s="183"/>
      <c r="N150" s="119"/>
    </row>
    <row r="151">
      <c r="A151" s="119"/>
      <c r="B151" s="202"/>
      <c r="C151" s="196"/>
      <c r="D151" s="197"/>
      <c r="E151" s="179"/>
      <c r="F151" s="179"/>
      <c r="G151" s="179"/>
      <c r="H151" s="179"/>
      <c r="I151" s="179"/>
      <c r="J151" s="201"/>
      <c r="K151" s="199"/>
      <c r="L151" s="182"/>
      <c r="M151" s="183"/>
      <c r="N151" s="119"/>
    </row>
    <row r="152">
      <c r="A152" s="119"/>
      <c r="B152" s="202"/>
      <c r="C152" s="196"/>
      <c r="D152" s="197"/>
      <c r="E152" s="179"/>
      <c r="F152" s="179"/>
      <c r="G152" s="179"/>
      <c r="H152" s="179"/>
      <c r="I152" s="179"/>
      <c r="J152" s="201"/>
      <c r="K152" s="199"/>
      <c r="L152" s="182"/>
      <c r="M152" s="183"/>
      <c r="N152" s="119"/>
    </row>
    <row r="153">
      <c r="A153" s="119"/>
      <c r="B153" s="202"/>
      <c r="C153" s="196"/>
      <c r="D153" s="197"/>
      <c r="E153" s="179"/>
      <c r="F153" s="179"/>
      <c r="G153" s="179"/>
      <c r="H153" s="179"/>
      <c r="I153" s="179"/>
      <c r="J153" s="201"/>
      <c r="K153" s="199"/>
      <c r="L153" s="182"/>
      <c r="M153" s="183"/>
      <c r="N153" s="119"/>
    </row>
    <row r="154">
      <c r="A154" s="119"/>
      <c r="B154" s="202"/>
      <c r="C154" s="196"/>
      <c r="D154" s="197"/>
      <c r="E154" s="179"/>
      <c r="F154" s="179"/>
      <c r="G154" s="179"/>
      <c r="H154" s="179"/>
      <c r="I154" s="179"/>
      <c r="J154" s="201"/>
      <c r="K154" s="199"/>
      <c r="L154" s="182"/>
      <c r="M154" s="183"/>
      <c r="N154" s="119"/>
    </row>
    <row r="155">
      <c r="A155" s="119"/>
      <c r="B155" s="202"/>
      <c r="C155" s="196"/>
      <c r="D155" s="197"/>
      <c r="E155" s="179"/>
      <c r="F155" s="179"/>
      <c r="G155" s="179"/>
      <c r="H155" s="179"/>
      <c r="I155" s="179"/>
      <c r="J155" s="201"/>
      <c r="K155" s="199"/>
      <c r="L155" s="182"/>
      <c r="M155" s="183"/>
      <c r="N155" s="119"/>
    </row>
    <row r="156">
      <c r="A156" s="119"/>
      <c r="B156" s="202"/>
      <c r="C156" s="196"/>
      <c r="D156" s="197"/>
      <c r="E156" s="179"/>
      <c r="F156" s="179"/>
      <c r="G156" s="179"/>
      <c r="H156" s="179"/>
      <c r="I156" s="179"/>
      <c r="J156" s="201"/>
      <c r="K156" s="199"/>
      <c r="L156" s="182"/>
      <c r="M156" s="183"/>
      <c r="N156" s="119"/>
    </row>
    <row r="157">
      <c r="A157" s="119"/>
      <c r="B157" s="202"/>
      <c r="C157" s="196"/>
      <c r="D157" s="197"/>
      <c r="E157" s="179"/>
      <c r="F157" s="179"/>
      <c r="G157" s="179"/>
      <c r="H157" s="179"/>
      <c r="I157" s="179"/>
      <c r="J157" s="201"/>
      <c r="K157" s="199"/>
      <c r="L157" s="182"/>
      <c r="M157" s="183"/>
      <c r="N157" s="119"/>
    </row>
    <row r="158">
      <c r="A158" s="119"/>
      <c r="B158" s="202"/>
      <c r="C158" s="196"/>
      <c r="D158" s="197"/>
      <c r="E158" s="179"/>
      <c r="F158" s="179"/>
      <c r="G158" s="179"/>
      <c r="H158" s="179"/>
      <c r="I158" s="179"/>
      <c r="J158" s="201"/>
      <c r="K158" s="199"/>
      <c r="L158" s="182"/>
      <c r="M158" s="183"/>
      <c r="N158" s="119"/>
    </row>
    <row r="159">
      <c r="A159" s="119"/>
      <c r="B159" s="202"/>
      <c r="C159" s="196"/>
      <c r="D159" s="197"/>
      <c r="E159" s="179"/>
      <c r="F159" s="179"/>
      <c r="G159" s="179"/>
      <c r="H159" s="179"/>
      <c r="I159" s="179"/>
      <c r="J159" s="201"/>
      <c r="K159" s="199"/>
      <c r="L159" s="182"/>
      <c r="M159" s="183"/>
      <c r="N159" s="119"/>
    </row>
    <row r="160">
      <c r="A160" s="119"/>
      <c r="B160" s="202"/>
      <c r="C160" s="196"/>
      <c r="D160" s="197"/>
      <c r="E160" s="179"/>
      <c r="F160" s="179"/>
      <c r="G160" s="179"/>
      <c r="H160" s="179"/>
      <c r="I160" s="179"/>
      <c r="J160" s="201"/>
      <c r="K160" s="199"/>
      <c r="L160" s="182"/>
      <c r="M160" s="183"/>
      <c r="N160" s="119"/>
    </row>
    <row r="161">
      <c r="A161" s="119"/>
      <c r="B161" s="202"/>
      <c r="C161" s="196"/>
      <c r="D161" s="197"/>
      <c r="E161" s="179"/>
      <c r="F161" s="179"/>
      <c r="G161" s="179"/>
      <c r="H161" s="179"/>
      <c r="I161" s="179"/>
      <c r="J161" s="201"/>
      <c r="K161" s="199"/>
      <c r="L161" s="182"/>
      <c r="M161" s="183"/>
      <c r="N161" s="119"/>
    </row>
    <row r="162">
      <c r="A162" s="119"/>
      <c r="B162" s="202"/>
      <c r="C162" s="196"/>
      <c r="D162" s="197"/>
      <c r="E162" s="179"/>
      <c r="F162" s="179"/>
      <c r="G162" s="179"/>
      <c r="H162" s="179"/>
      <c r="I162" s="179"/>
      <c r="J162" s="201"/>
      <c r="K162" s="199"/>
      <c r="L162" s="182"/>
      <c r="M162" s="183"/>
      <c r="N162" s="119"/>
    </row>
    <row r="163">
      <c r="A163" s="119"/>
      <c r="B163" s="202"/>
      <c r="C163" s="196"/>
      <c r="D163" s="197"/>
      <c r="E163" s="179"/>
      <c r="F163" s="179"/>
      <c r="G163" s="179"/>
      <c r="H163" s="179"/>
      <c r="I163" s="179"/>
      <c r="J163" s="201"/>
      <c r="K163" s="199"/>
      <c r="L163" s="182"/>
      <c r="M163" s="183"/>
      <c r="N163" s="119"/>
    </row>
    <row r="164">
      <c r="A164" s="119"/>
      <c r="B164" s="202"/>
      <c r="C164" s="196"/>
      <c r="D164" s="197"/>
      <c r="E164" s="179"/>
      <c r="F164" s="179"/>
      <c r="G164" s="179"/>
      <c r="H164" s="179"/>
      <c r="I164" s="179"/>
      <c r="J164" s="201"/>
      <c r="K164" s="199"/>
      <c r="L164" s="182"/>
      <c r="M164" s="183"/>
      <c r="N164" s="119"/>
    </row>
    <row r="165">
      <c r="A165" s="119"/>
      <c r="B165" s="202"/>
      <c r="C165" s="196"/>
      <c r="D165" s="197"/>
      <c r="E165" s="179"/>
      <c r="F165" s="179"/>
      <c r="G165" s="179"/>
      <c r="H165" s="179"/>
      <c r="I165" s="179"/>
      <c r="J165" s="201"/>
      <c r="K165" s="199"/>
      <c r="L165" s="182"/>
      <c r="M165" s="183"/>
      <c r="N165" s="119"/>
    </row>
    <row r="166">
      <c r="A166" s="119"/>
      <c r="B166" s="202"/>
      <c r="C166" s="196"/>
      <c r="D166" s="197"/>
      <c r="E166" s="179"/>
      <c r="F166" s="179"/>
      <c r="G166" s="179"/>
      <c r="H166" s="179"/>
      <c r="I166" s="179"/>
      <c r="J166" s="201"/>
      <c r="K166" s="199"/>
      <c r="L166" s="182"/>
      <c r="M166" s="183"/>
      <c r="N166" s="119"/>
    </row>
    <row r="167">
      <c r="A167" s="119"/>
      <c r="B167" s="202"/>
      <c r="C167" s="196"/>
      <c r="D167" s="197"/>
      <c r="E167" s="179"/>
      <c r="F167" s="179"/>
      <c r="G167" s="179"/>
      <c r="H167" s="179"/>
      <c r="I167" s="179"/>
      <c r="J167" s="201"/>
      <c r="K167" s="199"/>
      <c r="L167" s="182"/>
      <c r="M167" s="183"/>
      <c r="N167" s="119"/>
    </row>
    <row r="168">
      <c r="A168" s="119"/>
      <c r="B168" s="202"/>
      <c r="C168" s="196"/>
      <c r="D168" s="197"/>
      <c r="E168" s="179"/>
      <c r="F168" s="179"/>
      <c r="G168" s="179"/>
      <c r="H168" s="179"/>
      <c r="I168" s="179"/>
      <c r="J168" s="201"/>
      <c r="K168" s="199"/>
      <c r="L168" s="182"/>
      <c r="M168" s="183"/>
      <c r="N168" s="119"/>
    </row>
    <row r="169">
      <c r="A169" s="119"/>
      <c r="B169" s="202"/>
      <c r="C169" s="196"/>
      <c r="D169" s="197"/>
      <c r="E169" s="179"/>
      <c r="F169" s="179"/>
      <c r="G169" s="179"/>
      <c r="H169" s="179"/>
      <c r="I169" s="179"/>
      <c r="J169" s="201"/>
      <c r="K169" s="199"/>
      <c r="L169" s="182"/>
      <c r="M169" s="183"/>
      <c r="N169" s="119"/>
    </row>
    <row r="170">
      <c r="A170" s="119"/>
      <c r="B170" s="202"/>
      <c r="C170" s="196"/>
      <c r="D170" s="197"/>
      <c r="E170" s="179"/>
      <c r="F170" s="179"/>
      <c r="G170" s="179"/>
      <c r="H170" s="179"/>
      <c r="I170" s="179"/>
      <c r="J170" s="201"/>
      <c r="K170" s="199"/>
      <c r="L170" s="182"/>
      <c r="M170" s="183"/>
      <c r="N170" s="119"/>
    </row>
    <row r="171">
      <c r="A171" s="119"/>
      <c r="B171" s="202"/>
      <c r="C171" s="196"/>
      <c r="D171" s="197"/>
      <c r="E171" s="179"/>
      <c r="F171" s="179"/>
      <c r="G171" s="179"/>
      <c r="H171" s="179"/>
      <c r="I171" s="179"/>
      <c r="J171" s="201"/>
      <c r="K171" s="199"/>
      <c r="L171" s="182"/>
      <c r="M171" s="183"/>
      <c r="N171" s="119"/>
    </row>
    <row r="172">
      <c r="A172" s="119"/>
      <c r="B172" s="202"/>
      <c r="C172" s="196"/>
      <c r="D172" s="197"/>
      <c r="E172" s="179"/>
      <c r="F172" s="179"/>
      <c r="G172" s="179"/>
      <c r="H172" s="179"/>
      <c r="I172" s="179"/>
      <c r="J172" s="201"/>
      <c r="K172" s="199"/>
      <c r="L172" s="182"/>
      <c r="M172" s="183"/>
      <c r="N172" s="119"/>
    </row>
    <row r="173">
      <c r="A173" s="119"/>
      <c r="B173" s="202"/>
      <c r="C173" s="196"/>
      <c r="D173" s="197"/>
      <c r="E173" s="179"/>
      <c r="F173" s="179"/>
      <c r="G173" s="179"/>
      <c r="H173" s="179"/>
      <c r="I173" s="179"/>
      <c r="J173" s="201"/>
      <c r="K173" s="199"/>
      <c r="L173" s="182"/>
      <c r="M173" s="183"/>
      <c r="N173" s="119"/>
    </row>
    <row r="174">
      <c r="A174" s="119"/>
      <c r="B174" s="202"/>
      <c r="C174" s="196"/>
      <c r="D174" s="197"/>
      <c r="E174" s="179"/>
      <c r="F174" s="179"/>
      <c r="G174" s="179"/>
      <c r="H174" s="179"/>
      <c r="I174" s="179"/>
      <c r="J174" s="201"/>
      <c r="K174" s="199"/>
      <c r="L174" s="182"/>
      <c r="M174" s="183"/>
      <c r="N174" s="119"/>
    </row>
    <row r="175">
      <c r="A175" s="119"/>
      <c r="B175" s="202"/>
      <c r="C175" s="196"/>
      <c r="D175" s="197"/>
      <c r="E175" s="179"/>
      <c r="F175" s="179"/>
      <c r="G175" s="179"/>
      <c r="H175" s="179"/>
      <c r="I175" s="179"/>
      <c r="J175" s="201"/>
      <c r="K175" s="199"/>
      <c r="L175" s="182"/>
      <c r="M175" s="183"/>
      <c r="N175" s="119"/>
    </row>
    <row r="176">
      <c r="A176" s="119"/>
      <c r="B176" s="202"/>
      <c r="C176" s="196"/>
      <c r="D176" s="197"/>
      <c r="E176" s="179"/>
      <c r="F176" s="179"/>
      <c r="G176" s="179"/>
      <c r="H176" s="179"/>
      <c r="I176" s="179"/>
      <c r="J176" s="201"/>
      <c r="K176" s="199"/>
      <c r="L176" s="182"/>
      <c r="M176" s="183"/>
      <c r="N176" s="119"/>
    </row>
    <row r="177">
      <c r="A177" s="119"/>
      <c r="B177" s="202"/>
      <c r="C177" s="196"/>
      <c r="D177" s="197"/>
      <c r="E177" s="179"/>
      <c r="F177" s="179"/>
      <c r="G177" s="179"/>
      <c r="H177" s="179"/>
      <c r="I177" s="179"/>
      <c r="J177" s="201"/>
      <c r="K177" s="199"/>
      <c r="L177" s="182"/>
      <c r="M177" s="183"/>
      <c r="N177" s="119"/>
    </row>
    <row r="178">
      <c r="A178" s="119"/>
      <c r="B178" s="202"/>
      <c r="C178" s="196"/>
      <c r="D178" s="197"/>
      <c r="E178" s="179"/>
      <c r="F178" s="179"/>
      <c r="G178" s="179"/>
      <c r="H178" s="179"/>
      <c r="I178" s="179"/>
      <c r="J178" s="201"/>
      <c r="K178" s="199"/>
      <c r="L178" s="182"/>
      <c r="M178" s="183"/>
      <c r="N178" s="119"/>
    </row>
    <row r="179">
      <c r="A179" s="119"/>
      <c r="B179" s="202"/>
      <c r="C179" s="196"/>
      <c r="D179" s="197"/>
      <c r="E179" s="179"/>
      <c r="F179" s="179"/>
      <c r="G179" s="179"/>
      <c r="H179" s="179"/>
      <c r="I179" s="179"/>
      <c r="J179" s="201"/>
      <c r="K179" s="199"/>
      <c r="L179" s="182"/>
      <c r="M179" s="183"/>
      <c r="N179" s="119"/>
    </row>
    <row r="180">
      <c r="A180" s="119"/>
      <c r="B180" s="202"/>
      <c r="C180" s="196"/>
      <c r="D180" s="197"/>
      <c r="E180" s="179"/>
      <c r="F180" s="179"/>
      <c r="G180" s="179"/>
      <c r="H180" s="179"/>
      <c r="I180" s="179"/>
      <c r="J180" s="201"/>
      <c r="K180" s="199"/>
      <c r="L180" s="182"/>
      <c r="M180" s="183"/>
      <c r="N180" s="119"/>
    </row>
    <row r="181">
      <c r="A181" s="119"/>
      <c r="B181" s="202"/>
      <c r="C181" s="196"/>
      <c r="D181" s="197"/>
      <c r="E181" s="179"/>
      <c r="F181" s="179"/>
      <c r="G181" s="179"/>
      <c r="H181" s="179"/>
      <c r="I181" s="179"/>
      <c r="J181" s="201"/>
      <c r="K181" s="199"/>
      <c r="L181" s="182"/>
      <c r="M181" s="183"/>
      <c r="N181" s="119"/>
    </row>
    <row r="182">
      <c r="A182" s="119"/>
      <c r="B182" s="202"/>
      <c r="C182" s="196"/>
      <c r="D182" s="197"/>
      <c r="E182" s="179"/>
      <c r="F182" s="179"/>
      <c r="G182" s="179"/>
      <c r="H182" s="179"/>
      <c r="I182" s="179"/>
      <c r="J182" s="201"/>
      <c r="K182" s="199"/>
      <c r="L182" s="182"/>
      <c r="M182" s="183"/>
      <c r="N182" s="119"/>
    </row>
    <row r="183">
      <c r="A183" s="119"/>
      <c r="B183" s="202"/>
      <c r="C183" s="196"/>
      <c r="D183" s="197"/>
      <c r="E183" s="179"/>
      <c r="F183" s="179"/>
      <c r="G183" s="179"/>
      <c r="H183" s="179"/>
      <c r="I183" s="179"/>
      <c r="J183" s="201"/>
      <c r="K183" s="199"/>
      <c r="L183" s="182"/>
      <c r="M183" s="183"/>
      <c r="N183" s="119"/>
    </row>
    <row r="184">
      <c r="A184" s="119"/>
      <c r="B184" s="202"/>
      <c r="C184" s="196"/>
      <c r="D184" s="197"/>
      <c r="E184" s="179"/>
      <c r="F184" s="179"/>
      <c r="G184" s="179"/>
      <c r="H184" s="179"/>
      <c r="I184" s="179"/>
      <c r="J184" s="201"/>
      <c r="K184" s="199"/>
      <c r="L184" s="182"/>
      <c r="M184" s="183"/>
      <c r="N184" s="119"/>
    </row>
    <row r="185">
      <c r="A185" s="119"/>
      <c r="B185" s="202"/>
      <c r="C185" s="196"/>
      <c r="D185" s="197"/>
      <c r="E185" s="179"/>
      <c r="F185" s="179"/>
      <c r="G185" s="179"/>
      <c r="H185" s="179"/>
      <c r="I185" s="179"/>
      <c r="J185" s="201"/>
      <c r="K185" s="199"/>
      <c r="L185" s="182"/>
      <c r="M185" s="183"/>
      <c r="N185" s="119"/>
    </row>
    <row r="186">
      <c r="A186" s="119"/>
      <c r="B186" s="202"/>
      <c r="C186" s="196"/>
      <c r="D186" s="197"/>
      <c r="E186" s="179"/>
      <c r="F186" s="179"/>
      <c r="G186" s="179"/>
      <c r="H186" s="179"/>
      <c r="I186" s="179"/>
      <c r="J186" s="201"/>
      <c r="K186" s="199"/>
      <c r="L186" s="182"/>
      <c r="M186" s="183"/>
      <c r="N186" s="119"/>
    </row>
    <row r="187">
      <c r="A187" s="119"/>
      <c r="B187" s="202"/>
      <c r="C187" s="196"/>
      <c r="D187" s="197"/>
      <c r="E187" s="179"/>
      <c r="F187" s="179"/>
      <c r="G187" s="179"/>
      <c r="H187" s="179"/>
      <c r="I187" s="179"/>
      <c r="J187" s="201"/>
      <c r="K187" s="199"/>
      <c r="L187" s="182"/>
      <c r="M187" s="183"/>
      <c r="N187" s="119"/>
    </row>
    <row r="188">
      <c r="A188" s="119"/>
      <c r="B188" s="202"/>
      <c r="C188" s="196"/>
      <c r="D188" s="197"/>
      <c r="E188" s="179"/>
      <c r="F188" s="179"/>
      <c r="G188" s="179"/>
      <c r="H188" s="179"/>
      <c r="I188" s="179"/>
      <c r="J188" s="201"/>
      <c r="K188" s="199"/>
      <c r="L188" s="182"/>
      <c r="M188" s="183"/>
      <c r="N188" s="119"/>
    </row>
    <row r="189">
      <c r="A189" s="119"/>
      <c r="B189" s="202"/>
      <c r="C189" s="196"/>
      <c r="D189" s="197"/>
      <c r="E189" s="179"/>
      <c r="F189" s="179"/>
      <c r="G189" s="179"/>
      <c r="H189" s="179"/>
      <c r="I189" s="179"/>
      <c r="J189" s="201"/>
      <c r="K189" s="199"/>
      <c r="L189" s="182"/>
      <c r="M189" s="183"/>
      <c r="N189" s="119"/>
    </row>
    <row r="190">
      <c r="A190" s="119"/>
      <c r="B190" s="202"/>
      <c r="C190" s="196"/>
      <c r="D190" s="197"/>
      <c r="E190" s="179"/>
      <c r="F190" s="179"/>
      <c r="G190" s="179"/>
      <c r="H190" s="179"/>
      <c r="I190" s="179"/>
      <c r="J190" s="201"/>
      <c r="K190" s="199"/>
      <c r="L190" s="182"/>
      <c r="M190" s="183"/>
      <c r="N190" s="119"/>
    </row>
    <row r="191">
      <c r="A191" s="119"/>
      <c r="B191" s="202"/>
      <c r="C191" s="196"/>
      <c r="D191" s="197"/>
      <c r="E191" s="179"/>
      <c r="F191" s="179"/>
      <c r="G191" s="179"/>
      <c r="H191" s="179"/>
      <c r="I191" s="179"/>
      <c r="J191" s="201"/>
      <c r="K191" s="199"/>
      <c r="L191" s="182"/>
      <c r="M191" s="183"/>
      <c r="N191" s="119"/>
    </row>
    <row r="192">
      <c r="A192" s="119"/>
      <c r="B192" s="202"/>
      <c r="C192" s="196"/>
      <c r="D192" s="197"/>
      <c r="E192" s="179"/>
      <c r="F192" s="179"/>
      <c r="G192" s="179"/>
      <c r="H192" s="179"/>
      <c r="I192" s="179"/>
      <c r="J192" s="201"/>
      <c r="K192" s="199"/>
      <c r="L192" s="182"/>
      <c r="M192" s="183"/>
      <c r="N192" s="119"/>
    </row>
    <row r="193">
      <c r="A193" s="119"/>
      <c r="B193" s="202"/>
      <c r="C193" s="196"/>
      <c r="D193" s="197"/>
      <c r="E193" s="179"/>
      <c r="F193" s="179"/>
      <c r="G193" s="179"/>
      <c r="H193" s="179"/>
      <c r="I193" s="179"/>
      <c r="J193" s="201"/>
      <c r="K193" s="199"/>
      <c r="L193" s="182"/>
      <c r="M193" s="183"/>
      <c r="N193" s="119"/>
    </row>
    <row r="194">
      <c r="A194" s="119"/>
      <c r="B194" s="202"/>
      <c r="C194" s="196"/>
      <c r="D194" s="197"/>
      <c r="E194" s="179"/>
      <c r="F194" s="179"/>
      <c r="G194" s="179"/>
      <c r="H194" s="179"/>
      <c r="I194" s="179"/>
      <c r="J194" s="201"/>
      <c r="K194" s="199"/>
      <c r="L194" s="182"/>
      <c r="M194" s="183"/>
      <c r="N194" s="119"/>
    </row>
    <row r="195">
      <c r="A195" s="119"/>
      <c r="B195" s="202"/>
      <c r="C195" s="196"/>
      <c r="D195" s="197"/>
      <c r="E195" s="179"/>
      <c r="F195" s="179"/>
      <c r="G195" s="179"/>
      <c r="H195" s="179"/>
      <c r="I195" s="179"/>
      <c r="J195" s="201"/>
      <c r="K195" s="199"/>
      <c r="L195" s="182"/>
      <c r="M195" s="183"/>
      <c r="N195" s="119"/>
    </row>
    <row r="196">
      <c r="A196" s="119"/>
      <c r="B196" s="202"/>
      <c r="C196" s="196"/>
      <c r="D196" s="197"/>
      <c r="E196" s="179"/>
      <c r="F196" s="179"/>
      <c r="G196" s="179"/>
      <c r="H196" s="179"/>
      <c r="I196" s="179"/>
      <c r="J196" s="201"/>
      <c r="K196" s="199"/>
      <c r="L196" s="182"/>
      <c r="M196" s="183"/>
      <c r="N196" s="119"/>
    </row>
    <row r="197">
      <c r="A197" s="119"/>
      <c r="B197" s="202"/>
      <c r="C197" s="196"/>
      <c r="D197" s="197"/>
      <c r="E197" s="179"/>
      <c r="F197" s="179"/>
      <c r="G197" s="179"/>
      <c r="H197" s="179"/>
      <c r="I197" s="179"/>
      <c r="J197" s="201"/>
      <c r="K197" s="199"/>
      <c r="L197" s="182"/>
      <c r="M197" s="183"/>
      <c r="N197" s="119"/>
    </row>
    <row r="198">
      <c r="A198" s="119"/>
      <c r="B198" s="202"/>
      <c r="C198" s="196"/>
      <c r="D198" s="197"/>
      <c r="E198" s="179"/>
      <c r="F198" s="179"/>
      <c r="G198" s="179"/>
      <c r="H198" s="179"/>
      <c r="I198" s="179"/>
      <c r="J198" s="201"/>
      <c r="K198" s="199"/>
      <c r="L198" s="182"/>
      <c r="M198" s="183"/>
      <c r="N198" s="119"/>
    </row>
    <row r="199">
      <c r="A199" s="119"/>
      <c r="B199" s="202"/>
      <c r="C199" s="196"/>
      <c r="D199" s="197"/>
      <c r="E199" s="179"/>
      <c r="F199" s="179"/>
      <c r="G199" s="179"/>
      <c r="H199" s="179"/>
      <c r="I199" s="179"/>
      <c r="J199" s="201"/>
      <c r="K199" s="199"/>
      <c r="L199" s="182"/>
      <c r="M199" s="183"/>
      <c r="N199" s="119"/>
    </row>
    <row r="200">
      <c r="A200" s="119"/>
      <c r="B200" s="202"/>
      <c r="C200" s="196"/>
      <c r="D200" s="197"/>
      <c r="E200" s="179"/>
      <c r="F200" s="179"/>
      <c r="G200" s="179"/>
      <c r="H200" s="179"/>
      <c r="I200" s="179"/>
      <c r="J200" s="201"/>
      <c r="K200" s="199"/>
      <c r="L200" s="182"/>
      <c r="M200" s="183"/>
      <c r="N200" s="119"/>
    </row>
    <row r="201">
      <c r="A201" s="119"/>
      <c r="B201" s="202"/>
      <c r="C201" s="196"/>
      <c r="D201" s="197"/>
      <c r="E201" s="179"/>
      <c r="F201" s="179"/>
      <c r="G201" s="179"/>
      <c r="H201" s="179"/>
      <c r="I201" s="179"/>
      <c r="J201" s="201"/>
      <c r="K201" s="199"/>
      <c r="L201" s="182"/>
      <c r="M201" s="183"/>
      <c r="N201" s="119"/>
    </row>
    <row r="202">
      <c r="A202" s="119"/>
      <c r="B202" s="202"/>
      <c r="C202" s="196"/>
      <c r="D202" s="197"/>
      <c r="E202" s="179"/>
      <c r="F202" s="179"/>
      <c r="G202" s="179"/>
      <c r="H202" s="179"/>
      <c r="I202" s="179"/>
      <c r="J202" s="201"/>
      <c r="K202" s="199"/>
      <c r="L202" s="182"/>
      <c r="M202" s="183"/>
      <c r="N202" s="119"/>
    </row>
    <row r="203">
      <c r="A203" s="119"/>
      <c r="B203" s="202"/>
      <c r="C203" s="196"/>
      <c r="D203" s="197"/>
      <c r="E203" s="179"/>
      <c r="F203" s="179"/>
      <c r="G203" s="179"/>
      <c r="H203" s="179"/>
      <c r="I203" s="179"/>
      <c r="J203" s="201"/>
      <c r="K203" s="199"/>
      <c r="L203" s="182"/>
      <c r="M203" s="183"/>
      <c r="N203" s="119"/>
    </row>
    <row r="204">
      <c r="A204" s="119"/>
      <c r="B204" s="202"/>
      <c r="C204" s="196"/>
      <c r="D204" s="197"/>
      <c r="E204" s="179"/>
      <c r="F204" s="179"/>
      <c r="G204" s="179"/>
      <c r="H204" s="179"/>
      <c r="I204" s="179"/>
      <c r="J204" s="201"/>
      <c r="K204" s="199"/>
      <c r="L204" s="182"/>
      <c r="M204" s="183"/>
      <c r="N204" s="119"/>
    </row>
    <row r="205">
      <c r="A205" s="119"/>
      <c r="B205" s="202"/>
      <c r="C205" s="196"/>
      <c r="D205" s="197"/>
      <c r="E205" s="179"/>
      <c r="F205" s="179"/>
      <c r="G205" s="179"/>
      <c r="H205" s="179"/>
      <c r="I205" s="179"/>
      <c r="J205" s="201"/>
      <c r="K205" s="199"/>
      <c r="L205" s="182"/>
      <c r="M205" s="183"/>
      <c r="N205" s="119"/>
    </row>
    <row r="206">
      <c r="A206" s="119"/>
      <c r="B206" s="202"/>
      <c r="C206" s="196"/>
      <c r="D206" s="197"/>
      <c r="E206" s="179"/>
      <c r="F206" s="179"/>
      <c r="G206" s="179"/>
      <c r="H206" s="179"/>
      <c r="I206" s="179"/>
      <c r="J206" s="201"/>
      <c r="K206" s="199"/>
      <c r="L206" s="182"/>
      <c r="M206" s="183"/>
      <c r="N206" s="119"/>
    </row>
    <row r="207">
      <c r="A207" s="119"/>
      <c r="B207" s="202"/>
      <c r="C207" s="196"/>
      <c r="D207" s="197"/>
      <c r="E207" s="179"/>
      <c r="F207" s="179"/>
      <c r="G207" s="179"/>
      <c r="H207" s="179"/>
      <c r="I207" s="179"/>
      <c r="J207" s="201"/>
      <c r="K207" s="199"/>
      <c r="L207" s="182"/>
      <c r="M207" s="183"/>
      <c r="N207" s="119"/>
    </row>
    <row r="208">
      <c r="A208" s="119"/>
      <c r="B208" s="202"/>
      <c r="C208" s="196"/>
      <c r="D208" s="197"/>
      <c r="E208" s="179"/>
      <c r="F208" s="179"/>
      <c r="G208" s="179"/>
      <c r="H208" s="179"/>
      <c r="I208" s="179"/>
      <c r="J208" s="201"/>
      <c r="K208" s="199"/>
      <c r="L208" s="182"/>
      <c r="M208" s="183"/>
      <c r="N208" s="119"/>
    </row>
    <row r="209">
      <c r="A209" s="119"/>
      <c r="B209" s="202"/>
      <c r="C209" s="196"/>
      <c r="D209" s="197"/>
      <c r="E209" s="179"/>
      <c r="F209" s="179"/>
      <c r="G209" s="179"/>
      <c r="H209" s="179"/>
      <c r="I209" s="179"/>
      <c r="J209" s="201"/>
      <c r="K209" s="199"/>
      <c r="L209" s="182"/>
      <c r="M209" s="183"/>
      <c r="N209" s="119"/>
    </row>
    <row r="210">
      <c r="A210" s="119"/>
      <c r="B210" s="202"/>
      <c r="C210" s="196"/>
      <c r="D210" s="197"/>
      <c r="E210" s="179"/>
      <c r="F210" s="179"/>
      <c r="G210" s="179"/>
      <c r="H210" s="179"/>
      <c r="I210" s="179"/>
      <c r="J210" s="201"/>
      <c r="K210" s="199"/>
      <c r="L210" s="182"/>
      <c r="M210" s="183"/>
      <c r="N210" s="119"/>
    </row>
    <row r="211">
      <c r="A211" s="119"/>
      <c r="B211" s="202"/>
      <c r="C211" s="196"/>
      <c r="D211" s="197"/>
      <c r="E211" s="179"/>
      <c r="F211" s="179"/>
      <c r="G211" s="179"/>
      <c r="H211" s="179"/>
      <c r="I211" s="179"/>
      <c r="J211" s="201"/>
      <c r="K211" s="199"/>
      <c r="L211" s="182"/>
      <c r="M211" s="183"/>
      <c r="N211" s="119"/>
    </row>
    <row r="212">
      <c r="A212" s="119"/>
      <c r="B212" s="202"/>
      <c r="C212" s="196"/>
      <c r="D212" s="197"/>
      <c r="E212" s="179"/>
      <c r="F212" s="179"/>
      <c r="G212" s="179"/>
      <c r="H212" s="179"/>
      <c r="I212" s="179"/>
      <c r="J212" s="201"/>
      <c r="K212" s="199"/>
      <c r="L212" s="182"/>
      <c r="M212" s="183"/>
      <c r="N212" s="119"/>
    </row>
    <row r="213">
      <c r="A213" s="119"/>
      <c r="B213" s="202"/>
      <c r="C213" s="196"/>
      <c r="D213" s="197"/>
      <c r="E213" s="179"/>
      <c r="F213" s="179"/>
      <c r="G213" s="179"/>
      <c r="H213" s="179"/>
      <c r="I213" s="179"/>
      <c r="J213" s="201"/>
      <c r="K213" s="199"/>
      <c r="L213" s="182"/>
      <c r="M213" s="183"/>
      <c r="N213" s="119"/>
    </row>
    <row r="214" ht="15.75" customHeight="1">
      <c r="A214" s="119"/>
      <c r="B214" s="119"/>
      <c r="C214" s="119"/>
      <c r="D214" s="119"/>
      <c r="E214" s="119"/>
      <c r="F214" s="119"/>
      <c r="G214" s="119"/>
      <c r="H214" s="119"/>
      <c r="I214" s="119"/>
      <c r="J214" s="119"/>
      <c r="K214" s="119"/>
      <c r="L214" s="119"/>
      <c r="M214" s="119"/>
      <c r="N214" s="119"/>
    </row>
  </sheetData>
  <mergeCells count="19">
    <mergeCell ref="B3:F3"/>
    <mergeCell ref="B4:F4"/>
    <mergeCell ref="B5:F5"/>
    <mergeCell ref="B6:F6"/>
    <mergeCell ref="E8:F8"/>
    <mergeCell ref="B1:M1"/>
    <mergeCell ref="B24:C24"/>
    <mergeCell ref="J24:L24"/>
    <mergeCell ref="B18:H18"/>
    <mergeCell ref="B19:H19"/>
    <mergeCell ref="B20:H20"/>
    <mergeCell ref="F24:H24"/>
    <mergeCell ref="B9:C9"/>
    <mergeCell ref="B10:C10"/>
    <mergeCell ref="B12:H12"/>
    <mergeCell ref="B13:H13"/>
    <mergeCell ref="B15:H15"/>
    <mergeCell ref="B16:H16"/>
    <mergeCell ref="B17:H17"/>
  </mergeCells>
  <conditionalFormatting sqref="J25:J27">
    <cfRule type="containsText" dxfId="0" priority="1" operator="containsText" text="Medium">
      <formula>NOT(ISERROR(SEARCH(("Medium"),(J25))))</formula>
    </cfRule>
  </conditionalFormatting>
  <conditionalFormatting sqref="J25:J27">
    <cfRule type="containsText" dxfId="1" priority="2" operator="containsText" text="High">
      <formula>NOT(ISERROR(SEARCH(("High"),(J25))))</formula>
    </cfRule>
  </conditionalFormatting>
  <conditionalFormatting sqref="B26:B28">
    <cfRule type="containsText" dxfId="2" priority="3" operator="containsText" text="Approved">
      <formula>NOT(ISERROR(SEARCH(("Approved"),(B26))))</formula>
    </cfRule>
  </conditionalFormatting>
  <conditionalFormatting sqref="B26:B28">
    <cfRule type="containsText" dxfId="3" priority="4" operator="containsText" text="Needs Review">
      <formula>NOT(ISERROR(SEARCH(("Needs Review"),(B26))))</formula>
    </cfRule>
  </conditionalFormatting>
  <conditionalFormatting sqref="B26:B28">
    <cfRule type="containsText" dxfId="4" priority="5" operator="containsText" text="Not Started">
      <formula>NOT(ISERROR(SEARCH(("Not Started"),(B26))))</formula>
    </cfRule>
  </conditionalFormatting>
  <conditionalFormatting sqref="B26:B28">
    <cfRule type="containsText" dxfId="5" priority="6" operator="containsText" text="On Hold">
      <formula>NOT(ISERROR(SEARCH(("On Hold"),(B26))))</formula>
    </cfRule>
  </conditionalFormatting>
  <conditionalFormatting sqref="B26:B28">
    <cfRule type="containsText" dxfId="6" priority="7" operator="containsText" text="Open">
      <formula>NOT(ISERROR(SEARCH(("Open"),(B26))))</formula>
    </cfRule>
  </conditionalFormatting>
  <conditionalFormatting sqref="B26:B28">
    <cfRule type="containsText" dxfId="7" priority="8" operator="containsText" text="Closed">
      <formula>NOT(ISERROR(SEARCH(("Closed"),(B26))))</formula>
    </cfRule>
  </conditionalFormatting>
  <conditionalFormatting sqref="B26:B28">
    <cfRule type="containsText" dxfId="8" priority="9" operator="containsText" text="In Progress">
      <formula>NOT(ISERROR(SEARCH(("In Progress"),(B26))))</formula>
    </cfRule>
  </conditionalFormatting>
  <conditionalFormatting sqref="B29:B31">
    <cfRule type="containsText" dxfId="9" priority="10" operator="containsText" text="Minor">
      <formula>NOT(ISERROR(SEARCH(("Minor"),(B29))))</formula>
    </cfRule>
  </conditionalFormatting>
  <conditionalFormatting sqref="B29:B31">
    <cfRule type="containsText" dxfId="21" priority="11" operator="containsText" text="Major">
      <formula>NOT(ISERROR(SEARCH(("Major"),(B29))))</formula>
    </cfRule>
  </conditionalFormatting>
  <conditionalFormatting sqref="B29:B31">
    <cfRule type="containsText" dxfId="11" priority="12" operator="containsText" text="Critical">
      <formula>NOT(ISERROR(SEARCH(("Critical"),(B29))))</formula>
    </cfRule>
  </conditionalFormatting>
  <conditionalFormatting sqref="B35:H59">
    <cfRule type="expression" dxfId="12" priority="13">
      <formula>$J35="FAILED"</formula>
    </cfRule>
  </conditionalFormatting>
  <conditionalFormatting sqref="B64:I213">
    <cfRule type="expression" dxfId="12" priority="14">
      <formula>$J64="FAILED"</formula>
    </cfRule>
  </conditionalFormatting>
  <conditionalFormatting sqref="F26:F29">
    <cfRule type="containsText" dxfId="13" priority="15" operator="containsText" text="Not Executed">
      <formula>NOT(ISERROR(SEARCH(("Not Executed"),(F26))))</formula>
    </cfRule>
  </conditionalFormatting>
  <conditionalFormatting sqref="F26:F29">
    <cfRule type="containsText" dxfId="14" priority="16" operator="containsText" text="BLOCKED">
      <formula>NOT(ISERROR(SEARCH(("BLOCKED"),(F26))))</formula>
    </cfRule>
  </conditionalFormatting>
  <conditionalFormatting sqref="F26:F29">
    <cfRule type="containsText" dxfId="15" priority="17" operator="containsText" text="PASS">
      <formula>NOT(ISERROR(SEARCH(("PASS"),(F26))))</formula>
    </cfRule>
  </conditionalFormatting>
  <conditionalFormatting sqref="F26:F29">
    <cfRule type="containsText" dxfId="16" priority="18" operator="containsText" text="FAIL">
      <formula>NOT(ISERROR(SEARCH(("FAIL"),(F26))))</formula>
    </cfRule>
  </conditionalFormatting>
  <conditionalFormatting sqref="H35:H59">
    <cfRule type="containsText" dxfId="2" priority="19" operator="containsText" text="Approved">
      <formula>NOT(ISERROR(SEARCH(("Approved"),(H35))))</formula>
    </cfRule>
  </conditionalFormatting>
  <conditionalFormatting sqref="H35:H59">
    <cfRule type="containsText" dxfId="3" priority="20" operator="containsText" text="Needs Review">
      <formula>NOT(ISERROR(SEARCH(("Needs Review"),(H35))))</formula>
    </cfRule>
  </conditionalFormatting>
  <conditionalFormatting sqref="H35:H59">
    <cfRule type="containsText" dxfId="4" priority="21" operator="containsText" text="Not Started">
      <formula>NOT(ISERROR(SEARCH(("Not Started"),(H35))))</formula>
    </cfRule>
  </conditionalFormatting>
  <conditionalFormatting sqref="H35:H59">
    <cfRule type="containsText" dxfId="5" priority="22" operator="containsText" text="On Hold">
      <formula>NOT(ISERROR(SEARCH(("On Hold"),(H35))))</formula>
    </cfRule>
  </conditionalFormatting>
  <conditionalFormatting sqref="H35:H59">
    <cfRule type="containsText" dxfId="6" priority="23" operator="containsText" text="Open">
      <formula>NOT(ISERROR(SEARCH(("Open"),(H35))))</formula>
    </cfRule>
  </conditionalFormatting>
  <conditionalFormatting sqref="H35:H59">
    <cfRule type="containsText" dxfId="7" priority="24" operator="containsText" text="Closed">
      <formula>NOT(ISERROR(SEARCH(("Closed"),(H35))))</formula>
    </cfRule>
  </conditionalFormatting>
  <conditionalFormatting sqref="H35:H59">
    <cfRule type="containsText" dxfId="8" priority="25" operator="containsText" text="In Progress">
      <formula>NOT(ISERROR(SEARCH(("In Progress"),(H35))))</formula>
    </cfRule>
  </conditionalFormatting>
  <conditionalFormatting sqref="I35:I59">
    <cfRule type="containsText" dxfId="9" priority="26" operator="containsText" text="Minor">
      <formula>NOT(ISERROR(SEARCH(("Minor"),(I35))))</formula>
    </cfRule>
  </conditionalFormatting>
  <conditionalFormatting sqref="I35:I59">
    <cfRule type="containsText" dxfId="21" priority="27" operator="containsText" text="Major">
      <formula>NOT(ISERROR(SEARCH(("Major"),(I35))))</formula>
    </cfRule>
  </conditionalFormatting>
  <conditionalFormatting sqref="I35:I59">
    <cfRule type="containsText" dxfId="11" priority="28" operator="containsText" text="Critical">
      <formula>NOT(ISERROR(SEARCH(("Critical"),(I35))))</formula>
    </cfRule>
  </conditionalFormatting>
  <conditionalFormatting sqref="J25:J27 K64:K213">
    <cfRule type="containsText" dxfId="18" priority="29" operator="containsText" text="Low">
      <formula>NOT(ISERROR(SEARCH(("Low"),(J25))))</formula>
    </cfRule>
  </conditionalFormatting>
  <conditionalFormatting sqref="K64:K213">
    <cfRule type="containsText" dxfId="19" priority="30" operator="containsText" text="Medium">
      <formula>NOT(ISERROR(SEARCH(("Medium"),(K64))))</formula>
    </cfRule>
  </conditionalFormatting>
  <conditionalFormatting sqref="K64:K213">
    <cfRule type="containsText" dxfId="20" priority="31" operator="containsText" text="High">
      <formula>NOT(ISERROR(SEARCH(("High"),(K64))))</formula>
    </cfRule>
  </conditionalFormatting>
  <dataValidations>
    <dataValidation type="list" allowBlank="1" showErrorMessage="1" sqref="H35:H59">
      <formula1>'Dropdown Keys'!$H$3:$H$5</formula1>
    </dataValidation>
    <dataValidation type="list" allowBlank="1" showErrorMessage="1" sqref="J64:J213">
      <formula1>'Dropdown Keys'!$B$3:$B$6</formula1>
    </dataValidation>
    <dataValidation type="list" allowBlank="1" showErrorMessage="1" sqref="D64:D213">
      <formula1>"Unit,Security,Performance,Integrity"</formula1>
    </dataValidation>
    <dataValidation type="list" allowBlank="1" showErrorMessage="1" sqref="I35:I59">
      <formula1>Status</formula1>
    </dataValidation>
    <dataValidation type="list" allowBlank="1" showErrorMessage="1" sqref="K64:K213">
      <formula1>'Dropdown Keys'!$N$3:$N$5</formula1>
    </dataValidation>
  </dataValidations>
  <printOptions/>
  <pageMargins bottom="0.4" footer="0.0" header="0.0" left="0.4" right="0.4" top="0.4"/>
  <pageSetup fitToHeight="0"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CB13"/>
    <pageSetUpPr fitToPage="1"/>
  </sheetPr>
  <sheetViews>
    <sheetView showGridLines="0" workbookViewId="0"/>
  </sheetViews>
  <sheetFormatPr customHeight="1" defaultColWidth="11.22" defaultRowHeight="15.0"/>
  <cols>
    <col customWidth="1" min="1" max="1" width="3.33"/>
    <col customWidth="1" min="2" max="2" width="11.0"/>
    <col customWidth="1" min="3" max="3" width="11.78"/>
    <col customWidth="1" min="4" max="4" width="12.89"/>
    <col customWidth="1" min="5" max="9" width="20.78"/>
    <col customWidth="1" min="10" max="12" width="16.78"/>
    <col customWidth="1" min="13" max="13" width="22.78"/>
    <col customWidth="1" min="14" max="14" width="3.33"/>
  </cols>
  <sheetData>
    <row r="1" ht="66.0" customHeight="1">
      <c r="A1" s="118"/>
      <c r="B1" s="104" t="s">
        <v>779</v>
      </c>
      <c r="C1" s="105"/>
      <c r="D1" s="105"/>
      <c r="E1" s="105"/>
      <c r="F1" s="105"/>
      <c r="G1" s="105"/>
      <c r="H1" s="105"/>
      <c r="I1" s="105"/>
      <c r="J1" s="105"/>
      <c r="K1" s="105"/>
      <c r="L1" s="105"/>
      <c r="M1" s="106"/>
      <c r="N1" s="118"/>
    </row>
    <row r="2" ht="45.75" customHeight="1">
      <c r="A2" s="119"/>
      <c r="B2" s="120"/>
      <c r="C2" s="120"/>
      <c r="D2" s="120"/>
      <c r="E2" s="120"/>
      <c r="F2" s="120"/>
      <c r="G2" s="120"/>
      <c r="H2" s="121"/>
      <c r="I2" s="121"/>
      <c r="J2" s="119"/>
      <c r="K2" s="119"/>
      <c r="L2" s="119"/>
      <c r="M2" s="119"/>
      <c r="N2" s="119"/>
    </row>
    <row r="3" ht="19.5" customHeight="1">
      <c r="A3" s="122"/>
      <c r="B3" s="123" t="s">
        <v>662</v>
      </c>
      <c r="C3" s="124"/>
      <c r="D3" s="124"/>
      <c r="E3" s="124"/>
      <c r="F3" s="125"/>
      <c r="G3" s="212" t="s">
        <v>649</v>
      </c>
      <c r="I3" s="127"/>
      <c r="J3" s="122"/>
      <c r="K3" s="122"/>
      <c r="L3" s="122"/>
      <c r="M3" s="122"/>
      <c r="N3" s="122"/>
    </row>
    <row r="4" ht="34.5" customHeight="1">
      <c r="A4" s="122"/>
      <c r="B4" s="128" t="s">
        <v>659</v>
      </c>
      <c r="C4" s="129"/>
      <c r="D4" s="129"/>
      <c r="E4" s="129"/>
      <c r="F4" s="130"/>
      <c r="G4" s="213">
        <f>C25</f>
        <v>0</v>
      </c>
      <c r="I4" s="127"/>
      <c r="J4" s="122"/>
      <c r="K4" s="122"/>
      <c r="L4" s="122"/>
      <c r="M4" s="122"/>
      <c r="N4" s="122"/>
    </row>
    <row r="5" ht="19.5" customHeight="1">
      <c r="A5" s="122"/>
      <c r="B5" s="132" t="s">
        <v>663</v>
      </c>
      <c r="C5" s="133"/>
      <c r="D5" s="133"/>
      <c r="E5" s="133"/>
      <c r="F5" s="134"/>
      <c r="G5" s="214" t="s">
        <v>664</v>
      </c>
      <c r="I5" s="127"/>
      <c r="J5" s="122"/>
      <c r="K5" s="122"/>
      <c r="L5" s="122"/>
      <c r="M5" s="122"/>
      <c r="N5" s="122"/>
    </row>
    <row r="6" ht="34.5" customHeight="1">
      <c r="A6" s="122"/>
      <c r="B6" s="136" t="s">
        <v>665</v>
      </c>
      <c r="C6" s="129"/>
      <c r="D6" s="129"/>
      <c r="E6" s="129"/>
      <c r="F6" s="130"/>
      <c r="G6" s="215">
        <f>G25</f>
        <v>0</v>
      </c>
      <c r="I6" s="127"/>
      <c r="J6" s="122"/>
      <c r="K6" s="122"/>
      <c r="L6" s="122"/>
      <c r="M6" s="122"/>
      <c r="N6" s="122"/>
    </row>
    <row r="7" ht="15.75" customHeight="1">
      <c r="A7" s="119"/>
      <c r="B7" s="119"/>
      <c r="C7" s="119"/>
      <c r="D7" s="119"/>
      <c r="E7" s="119"/>
      <c r="F7" s="119"/>
      <c r="G7" s="119"/>
      <c r="H7" s="119"/>
      <c r="I7" s="119"/>
      <c r="J7" s="119"/>
      <c r="K7" s="119"/>
      <c r="L7" s="119"/>
      <c r="M7" s="119"/>
      <c r="N7" s="119"/>
    </row>
    <row r="8" ht="15.75" customHeight="1">
      <c r="A8" s="119"/>
      <c r="B8" s="119"/>
      <c r="C8" s="119"/>
      <c r="D8" s="119"/>
      <c r="E8" s="137" t="s">
        <v>666</v>
      </c>
      <c r="F8" s="138"/>
      <c r="G8" s="139"/>
      <c r="H8" s="119"/>
      <c r="I8" s="119"/>
      <c r="J8" s="119"/>
      <c r="K8" s="119"/>
      <c r="L8" s="119"/>
      <c r="M8" s="119"/>
      <c r="N8" s="119"/>
    </row>
    <row r="9" ht="15.75" customHeight="1">
      <c r="A9" s="119"/>
      <c r="B9" s="140" t="s">
        <v>667</v>
      </c>
      <c r="C9" s="125"/>
      <c r="D9" s="141" t="s">
        <v>668</v>
      </c>
      <c r="E9" s="142" t="s">
        <v>669</v>
      </c>
      <c r="F9" s="216" t="s">
        <v>670</v>
      </c>
      <c r="G9" s="139"/>
      <c r="H9" s="119"/>
      <c r="I9" s="119"/>
      <c r="J9" s="119"/>
      <c r="K9" s="119"/>
      <c r="L9" s="119"/>
      <c r="M9" s="119"/>
      <c r="N9" s="119"/>
    </row>
    <row r="10" ht="34.5" customHeight="1">
      <c r="A10" s="119"/>
      <c r="B10" s="144" t="s">
        <v>671</v>
      </c>
      <c r="C10" s="130"/>
      <c r="D10" s="145"/>
      <c r="E10" s="146">
        <v>46092.0</v>
      </c>
      <c r="F10" s="217">
        <v>46086.0</v>
      </c>
      <c r="G10" s="139"/>
      <c r="H10" s="119"/>
      <c r="I10" s="119"/>
      <c r="J10" s="119"/>
      <c r="K10" s="119"/>
      <c r="L10" s="119"/>
      <c r="M10" s="119"/>
      <c r="N10" s="119"/>
    </row>
    <row r="11" ht="15.75" customHeight="1">
      <c r="A11" s="119"/>
      <c r="B11" s="119"/>
      <c r="C11" s="119"/>
      <c r="D11" s="119"/>
      <c r="E11" s="119"/>
      <c r="F11" s="119"/>
      <c r="G11" s="119"/>
      <c r="H11" s="119"/>
      <c r="I11" s="119"/>
      <c r="J11" s="119"/>
      <c r="K11" s="119"/>
      <c r="L11" s="119"/>
      <c r="M11" s="119"/>
      <c r="N11" s="119"/>
    </row>
    <row r="12" ht="24.75" customHeight="1">
      <c r="A12" s="122"/>
      <c r="B12" s="148" t="s">
        <v>780</v>
      </c>
      <c r="C12" s="124"/>
      <c r="D12" s="124"/>
      <c r="E12" s="124"/>
      <c r="F12" s="124"/>
      <c r="G12" s="124"/>
      <c r="H12" s="125"/>
      <c r="I12" s="122"/>
      <c r="J12" s="122"/>
      <c r="K12" s="122"/>
      <c r="L12" s="122"/>
      <c r="M12" s="122"/>
      <c r="N12" s="122"/>
    </row>
    <row r="13" ht="64.5" customHeight="1">
      <c r="A13" s="122"/>
      <c r="B13" s="151"/>
      <c r="C13" s="129"/>
      <c r="D13" s="129"/>
      <c r="E13" s="129"/>
      <c r="F13" s="129"/>
      <c r="G13" s="129"/>
      <c r="H13" s="130"/>
      <c r="I13" s="122"/>
      <c r="J13" s="122"/>
      <c r="K13" s="122"/>
      <c r="L13" s="122"/>
      <c r="M13" s="122"/>
      <c r="N13" s="122"/>
    </row>
    <row r="14" ht="15.75" customHeight="1">
      <c r="A14" s="119"/>
      <c r="B14" s="119"/>
      <c r="C14" s="119"/>
      <c r="D14" s="119"/>
      <c r="E14" s="119"/>
      <c r="F14" s="119"/>
      <c r="G14" s="119"/>
      <c r="H14" s="119"/>
      <c r="I14" s="119"/>
      <c r="J14" s="119"/>
      <c r="K14" s="119"/>
      <c r="L14" s="119"/>
      <c r="M14" s="119"/>
      <c r="N14" s="119"/>
    </row>
    <row r="15" ht="24.75" customHeight="1">
      <c r="A15" s="122"/>
      <c r="B15" s="150" t="s">
        <v>781</v>
      </c>
      <c r="C15" s="124"/>
      <c r="D15" s="124"/>
      <c r="E15" s="124"/>
      <c r="F15" s="124"/>
      <c r="G15" s="124"/>
      <c r="H15" s="125"/>
      <c r="I15" s="122"/>
      <c r="J15" s="122"/>
      <c r="K15" s="122"/>
      <c r="L15" s="122"/>
      <c r="M15" s="122"/>
      <c r="N15" s="122"/>
    </row>
    <row r="16" ht="64.5" customHeight="1">
      <c r="A16" s="122"/>
      <c r="B16" s="151"/>
      <c r="C16" s="129"/>
      <c r="D16" s="129"/>
      <c r="E16" s="129"/>
      <c r="F16" s="129"/>
      <c r="G16" s="129"/>
      <c r="H16" s="130"/>
      <c r="I16" s="122"/>
      <c r="J16" s="122"/>
      <c r="K16" s="122"/>
      <c r="L16" s="122"/>
      <c r="M16" s="122"/>
      <c r="N16" s="122"/>
    </row>
    <row r="17" ht="24.75" customHeight="1">
      <c r="A17" s="122"/>
      <c r="B17" s="152" t="s">
        <v>782</v>
      </c>
      <c r="C17" s="133"/>
      <c r="D17" s="133"/>
      <c r="E17" s="133"/>
      <c r="F17" s="133"/>
      <c r="G17" s="133"/>
      <c r="H17" s="134"/>
      <c r="I17" s="122"/>
      <c r="J17" s="122"/>
      <c r="K17" s="122"/>
      <c r="L17" s="122"/>
      <c r="M17" s="122"/>
      <c r="N17" s="122"/>
    </row>
    <row r="18" ht="64.5" customHeight="1">
      <c r="A18" s="122"/>
      <c r="B18" s="151"/>
      <c r="C18" s="129"/>
      <c r="D18" s="129"/>
      <c r="E18" s="129"/>
      <c r="F18" s="129"/>
      <c r="G18" s="129"/>
      <c r="H18" s="130"/>
      <c r="I18" s="122"/>
      <c r="J18" s="122"/>
      <c r="K18" s="122"/>
      <c r="L18" s="122"/>
      <c r="M18" s="122"/>
      <c r="N18" s="122"/>
    </row>
    <row r="19" ht="24.75" customHeight="1">
      <c r="A19" s="122"/>
      <c r="B19" s="152" t="s">
        <v>783</v>
      </c>
      <c r="C19" s="133"/>
      <c r="D19" s="133"/>
      <c r="E19" s="133"/>
      <c r="F19" s="133"/>
      <c r="G19" s="133"/>
      <c r="H19" s="134"/>
      <c r="I19" s="122"/>
      <c r="J19" s="122"/>
      <c r="K19" s="122"/>
      <c r="L19" s="122"/>
      <c r="M19" s="122"/>
      <c r="N19" s="122"/>
    </row>
    <row r="20" ht="64.5" customHeight="1">
      <c r="A20" s="122"/>
      <c r="B20" s="153"/>
      <c r="C20" s="129"/>
      <c r="D20" s="129"/>
      <c r="E20" s="129"/>
      <c r="F20" s="129"/>
      <c r="G20" s="129"/>
      <c r="H20" s="130"/>
      <c r="I20" s="122"/>
      <c r="J20" s="122"/>
      <c r="K20" s="122"/>
      <c r="L20" s="122"/>
      <c r="M20" s="122"/>
      <c r="N20" s="122"/>
    </row>
    <row r="21" ht="69.0" customHeight="1">
      <c r="A21" s="119"/>
      <c r="B21" s="119"/>
      <c r="C21" s="119"/>
      <c r="D21" s="119"/>
      <c r="E21" s="119"/>
      <c r="F21" s="119"/>
      <c r="G21" s="119"/>
      <c r="H21" s="119"/>
      <c r="I21" s="119"/>
      <c r="J21" s="119"/>
      <c r="K21" s="119"/>
      <c r="L21" s="119"/>
      <c r="M21" s="119"/>
      <c r="N21" s="119"/>
    </row>
    <row r="22" ht="9.0" customHeight="1">
      <c r="A22" s="119"/>
      <c r="B22" s="154"/>
      <c r="C22" s="154"/>
      <c r="D22" s="154"/>
      <c r="E22" s="154"/>
      <c r="F22" s="154"/>
      <c r="G22" s="154"/>
      <c r="H22" s="154"/>
      <c r="I22" s="154"/>
      <c r="J22" s="154"/>
      <c r="K22" s="154"/>
      <c r="L22" s="154"/>
      <c r="M22" s="154"/>
      <c r="N22" s="119"/>
    </row>
    <row r="23" ht="34.5" customHeight="1">
      <c r="A23" s="122"/>
      <c r="B23" s="155" t="s">
        <v>677</v>
      </c>
      <c r="C23" s="156"/>
      <c r="D23" s="156"/>
      <c r="E23" s="156"/>
      <c r="F23" s="156"/>
      <c r="G23" s="156"/>
      <c r="H23" s="156"/>
      <c r="I23" s="156"/>
      <c r="J23" s="156"/>
      <c r="K23" s="156"/>
      <c r="L23" s="156"/>
      <c r="M23" s="156"/>
      <c r="N23" s="156"/>
    </row>
    <row r="24" ht="25.5" customHeight="1">
      <c r="A24" s="119"/>
      <c r="B24" s="157" t="s">
        <v>678</v>
      </c>
      <c r="D24" s="157"/>
      <c r="E24" s="119"/>
      <c r="F24" s="157" t="s">
        <v>679</v>
      </c>
      <c r="I24" s="119"/>
      <c r="J24" s="158" t="s">
        <v>680</v>
      </c>
      <c r="M24" s="119"/>
      <c r="N24" s="119"/>
    </row>
    <row r="25" ht="54.75" customHeight="1">
      <c r="A25" s="119"/>
      <c r="B25" s="159" t="s">
        <v>681</v>
      </c>
      <c r="C25" s="160">
        <f>COUNTIF(B35:B59, "*")</f>
        <v>0</v>
      </c>
      <c r="D25" s="157"/>
      <c r="E25" s="119"/>
      <c r="F25" s="161" t="s">
        <v>682</v>
      </c>
      <c r="G25" s="162">
        <f>COUNTIF(B64:B213, "*")</f>
        <v>0</v>
      </c>
      <c r="I25" s="119"/>
      <c r="J25" s="163" t="s">
        <v>683</v>
      </c>
      <c r="K25" s="164">
        <f t="shared" ref="K25:K27" si="1">COUNTIF(K63:K212,J25)</f>
        <v>0</v>
      </c>
      <c r="L25" s="119"/>
      <c r="M25" s="119"/>
      <c r="N25" s="119"/>
    </row>
    <row r="26" ht="28.5" customHeight="1">
      <c r="A26" s="119"/>
      <c r="B26" s="165" t="s">
        <v>684</v>
      </c>
      <c r="C26" s="164">
        <f>COUNTIF(H35:H59,B26)</f>
        <v>0</v>
      </c>
      <c r="D26" s="157"/>
      <c r="E26" s="119"/>
      <c r="F26" s="166" t="s">
        <v>685</v>
      </c>
      <c r="G26" s="164">
        <f>COUNTIF(J64:J213,F26)</f>
        <v>0</v>
      </c>
      <c r="I26" s="119"/>
      <c r="J26" s="163" t="s">
        <v>686</v>
      </c>
      <c r="K26" s="164">
        <f t="shared" si="1"/>
        <v>0</v>
      </c>
      <c r="L26" s="119"/>
      <c r="M26" s="119"/>
      <c r="N26" s="119"/>
    </row>
    <row r="27" ht="28.5" customHeight="1">
      <c r="A27" s="119"/>
      <c r="B27" s="167" t="s">
        <v>112</v>
      </c>
      <c r="C27" s="168">
        <f>COUNTIF(H35:H59,B27)</f>
        <v>0</v>
      </c>
      <c r="D27" s="157"/>
      <c r="E27" s="119"/>
      <c r="F27" s="169" t="s">
        <v>687</v>
      </c>
      <c r="G27" s="168">
        <f>COUNTIF(J64:J213,F27)</f>
        <v>0</v>
      </c>
      <c r="I27" s="119"/>
      <c r="J27" s="163" t="s">
        <v>688</v>
      </c>
      <c r="K27" s="164">
        <f t="shared" si="1"/>
        <v>0</v>
      </c>
      <c r="L27" s="119"/>
      <c r="M27" s="119"/>
      <c r="N27" s="119"/>
    </row>
    <row r="28" ht="28.5" customHeight="1">
      <c r="A28" s="119"/>
      <c r="B28" s="167" t="s">
        <v>689</v>
      </c>
      <c r="C28" s="168">
        <f>COUNTIF(H35:H59,B28)</f>
        <v>0</v>
      </c>
      <c r="D28" s="157"/>
      <c r="E28" s="119"/>
      <c r="F28" s="169" t="s">
        <v>690</v>
      </c>
      <c r="G28" s="168">
        <f>COUNTIF(J64:J213,F28)</f>
        <v>0</v>
      </c>
      <c r="I28" s="119"/>
      <c r="J28" s="119"/>
      <c r="K28" s="119"/>
      <c r="L28" s="119"/>
      <c r="M28" s="119"/>
      <c r="N28" s="119"/>
    </row>
    <row r="29" ht="28.5" customHeight="1">
      <c r="A29" s="119"/>
      <c r="B29" s="170" t="s">
        <v>691</v>
      </c>
      <c r="C29" s="168">
        <f>COUNTIF(I35:I59,B29)</f>
        <v>0</v>
      </c>
      <c r="D29" s="157"/>
      <c r="E29" s="119"/>
      <c r="F29" s="169" t="s">
        <v>692</v>
      </c>
      <c r="G29" s="168">
        <f>COUNTIF(J64:J213,F29)</f>
        <v>0</v>
      </c>
      <c r="I29" s="119"/>
      <c r="J29" s="119"/>
      <c r="K29" s="119"/>
      <c r="L29" s="119"/>
      <c r="M29" s="119"/>
      <c r="N29" s="119"/>
    </row>
    <row r="30" ht="28.5" customHeight="1">
      <c r="A30" s="119"/>
      <c r="B30" s="170" t="s">
        <v>693</v>
      </c>
      <c r="C30" s="168">
        <f>COUNTIF(I35:I59,B30)</f>
        <v>0</v>
      </c>
      <c r="D30" s="157"/>
      <c r="E30" s="119"/>
      <c r="F30" s="119"/>
      <c r="G30" s="119"/>
      <c r="H30" s="119"/>
      <c r="I30" s="119"/>
      <c r="J30" s="119"/>
      <c r="K30" s="119"/>
      <c r="L30" s="119"/>
      <c r="M30" s="119"/>
      <c r="N30" s="119"/>
    </row>
    <row r="31" ht="28.5" customHeight="1">
      <c r="A31" s="119"/>
      <c r="B31" s="170" t="s">
        <v>694</v>
      </c>
      <c r="C31" s="168">
        <f>COUNTIF(I35:I59,B31)</f>
        <v>0</v>
      </c>
      <c r="D31" s="157"/>
      <c r="E31" s="119"/>
      <c r="F31" s="119"/>
      <c r="G31" s="119"/>
      <c r="H31" s="119"/>
      <c r="I31" s="119"/>
      <c r="J31" s="119"/>
      <c r="K31" s="119"/>
      <c r="L31" s="119"/>
      <c r="M31" s="119"/>
      <c r="N31" s="119"/>
    </row>
    <row r="32" ht="15.75" customHeight="1">
      <c r="A32" s="119"/>
      <c r="B32" s="119"/>
      <c r="C32" s="119"/>
      <c r="D32" s="119"/>
      <c r="E32" s="119"/>
      <c r="F32" s="119"/>
      <c r="G32" s="119"/>
      <c r="H32" s="119"/>
      <c r="I32" s="119"/>
      <c r="J32" s="119"/>
      <c r="K32" s="119"/>
      <c r="L32" s="119"/>
      <c r="M32" s="119"/>
      <c r="N32" s="119"/>
    </row>
    <row r="33" ht="34.5" customHeight="1">
      <c r="A33" s="122"/>
      <c r="B33" s="171" t="s">
        <v>695</v>
      </c>
      <c r="C33" s="156"/>
      <c r="D33" s="156"/>
      <c r="E33" s="156"/>
      <c r="F33" s="156"/>
      <c r="G33" s="156"/>
      <c r="H33" s="156"/>
      <c r="I33" s="156"/>
      <c r="J33" s="156"/>
      <c r="K33" s="156"/>
      <c r="L33" s="156"/>
      <c r="M33" s="156"/>
      <c r="N33" s="156"/>
    </row>
    <row r="34" ht="39.75" customHeight="1">
      <c r="A34" s="172"/>
      <c r="B34" s="173" t="s">
        <v>696</v>
      </c>
      <c r="C34" s="173" t="s">
        <v>697</v>
      </c>
      <c r="D34" s="174" t="s">
        <v>698</v>
      </c>
      <c r="E34" s="174" t="s">
        <v>699</v>
      </c>
      <c r="F34" s="174" t="s">
        <v>700</v>
      </c>
      <c r="G34" s="175" t="s">
        <v>701</v>
      </c>
      <c r="H34" s="173" t="s">
        <v>702</v>
      </c>
      <c r="I34" s="173" t="s">
        <v>703</v>
      </c>
      <c r="J34" s="176" t="s">
        <v>704</v>
      </c>
      <c r="K34" s="176" t="s">
        <v>652</v>
      </c>
      <c r="L34" s="119"/>
      <c r="M34" s="119"/>
      <c r="N34" s="172"/>
    </row>
    <row r="35" ht="15.75" customHeight="1">
      <c r="A35" s="119"/>
      <c r="B35" s="184"/>
      <c r="C35" s="178"/>
      <c r="D35" s="179"/>
      <c r="E35" s="179"/>
      <c r="F35" s="179"/>
      <c r="G35" s="179"/>
      <c r="H35" s="187"/>
      <c r="I35" s="181"/>
      <c r="J35" s="182"/>
      <c r="K35" s="183"/>
      <c r="L35" s="119"/>
      <c r="M35" s="119"/>
      <c r="N35" s="119"/>
    </row>
    <row r="36" ht="15.75" customHeight="1">
      <c r="A36" s="119"/>
      <c r="B36" s="184"/>
      <c r="C36" s="178"/>
      <c r="D36" s="179"/>
      <c r="E36" s="179"/>
      <c r="F36" s="179"/>
      <c r="G36" s="179"/>
      <c r="H36" s="167"/>
      <c r="I36" s="181"/>
      <c r="J36" s="182"/>
      <c r="K36" s="183"/>
      <c r="L36" s="119"/>
      <c r="M36" s="119"/>
      <c r="N36" s="119"/>
    </row>
    <row r="37" ht="15.75" customHeight="1">
      <c r="A37" s="119"/>
      <c r="B37" s="184"/>
      <c r="C37" s="178"/>
      <c r="D37" s="179"/>
      <c r="E37" s="179"/>
      <c r="F37" s="179"/>
      <c r="G37" s="179"/>
      <c r="H37" s="167"/>
      <c r="I37" s="186"/>
      <c r="J37" s="182"/>
      <c r="K37" s="183"/>
      <c r="L37" s="119"/>
      <c r="M37" s="119"/>
      <c r="N37" s="119"/>
    </row>
    <row r="38" ht="15.75" customHeight="1">
      <c r="A38" s="119"/>
      <c r="B38" s="184"/>
      <c r="C38" s="178"/>
      <c r="D38" s="179"/>
      <c r="E38" s="179"/>
      <c r="F38" s="179"/>
      <c r="G38" s="179"/>
      <c r="H38" s="187"/>
      <c r="I38" s="186"/>
      <c r="J38" s="182"/>
      <c r="K38" s="183"/>
      <c r="L38" s="119"/>
      <c r="M38" s="119"/>
      <c r="N38" s="119"/>
    </row>
    <row r="39" ht="15.75" customHeight="1">
      <c r="A39" s="119"/>
      <c r="B39" s="184"/>
      <c r="C39" s="178"/>
      <c r="D39" s="179"/>
      <c r="E39" s="179"/>
      <c r="F39" s="179"/>
      <c r="G39" s="179"/>
      <c r="H39" s="187"/>
      <c r="I39" s="186"/>
      <c r="J39" s="182"/>
      <c r="K39" s="183"/>
      <c r="L39" s="119"/>
      <c r="M39" s="119"/>
      <c r="N39" s="119"/>
    </row>
    <row r="40" ht="15.75" customHeight="1">
      <c r="A40" s="119"/>
      <c r="B40" s="184"/>
      <c r="C40" s="178"/>
      <c r="D40" s="179"/>
      <c r="E40" s="179"/>
      <c r="F40" s="179"/>
      <c r="G40" s="179"/>
      <c r="H40" s="187"/>
      <c r="I40" s="186"/>
      <c r="J40" s="182"/>
      <c r="K40" s="183"/>
      <c r="L40" s="119"/>
      <c r="M40" s="119"/>
      <c r="N40" s="119"/>
    </row>
    <row r="41" ht="15.75" customHeight="1">
      <c r="A41" s="119"/>
      <c r="B41" s="184"/>
      <c r="C41" s="178"/>
      <c r="D41" s="179"/>
      <c r="E41" s="179"/>
      <c r="F41" s="179"/>
      <c r="G41" s="179"/>
      <c r="H41" s="187"/>
      <c r="I41" s="186"/>
      <c r="J41" s="182"/>
      <c r="K41" s="183"/>
      <c r="L41" s="119"/>
      <c r="M41" s="119"/>
      <c r="N41" s="119"/>
    </row>
    <row r="42" ht="15.75" customHeight="1">
      <c r="A42" s="119"/>
      <c r="B42" s="184"/>
      <c r="C42" s="178"/>
      <c r="D42" s="179"/>
      <c r="E42" s="179"/>
      <c r="F42" s="179"/>
      <c r="G42" s="179"/>
      <c r="H42" s="187"/>
      <c r="I42" s="181"/>
      <c r="J42" s="182"/>
      <c r="K42" s="183"/>
      <c r="L42" s="119"/>
      <c r="M42" s="119"/>
      <c r="N42" s="119"/>
    </row>
    <row r="43" ht="15.75" customHeight="1">
      <c r="A43" s="119"/>
      <c r="B43" s="184"/>
      <c r="C43" s="178"/>
      <c r="D43" s="179"/>
      <c r="E43" s="179"/>
      <c r="F43" s="179"/>
      <c r="G43" s="179"/>
      <c r="H43" s="187"/>
      <c r="I43" s="186"/>
      <c r="J43" s="182"/>
      <c r="K43" s="183"/>
      <c r="L43" s="119"/>
      <c r="M43" s="119"/>
      <c r="N43" s="119"/>
    </row>
    <row r="44" ht="15.75" customHeight="1">
      <c r="A44" s="119"/>
      <c r="B44" s="184"/>
      <c r="C44" s="178"/>
      <c r="D44" s="179"/>
      <c r="E44" s="179"/>
      <c r="F44" s="179"/>
      <c r="G44" s="179"/>
      <c r="H44" s="187"/>
      <c r="I44" s="186"/>
      <c r="J44" s="182"/>
      <c r="K44" s="183"/>
      <c r="L44" s="119"/>
      <c r="M44" s="119"/>
      <c r="N44" s="119"/>
    </row>
    <row r="45" ht="15.75" customHeight="1">
      <c r="A45" s="119"/>
      <c r="B45" s="184"/>
      <c r="C45" s="178"/>
      <c r="D45" s="179"/>
      <c r="E45" s="179"/>
      <c r="F45" s="179"/>
      <c r="G45" s="179"/>
      <c r="H45" s="187"/>
      <c r="I45" s="186"/>
      <c r="J45" s="182"/>
      <c r="K45" s="183"/>
      <c r="L45" s="119"/>
      <c r="M45" s="119"/>
      <c r="N45" s="119"/>
    </row>
    <row r="46" ht="15.75" customHeight="1">
      <c r="A46" s="119"/>
      <c r="B46" s="184"/>
      <c r="C46" s="178"/>
      <c r="D46" s="179"/>
      <c r="E46" s="179"/>
      <c r="F46" s="179"/>
      <c r="G46" s="179"/>
      <c r="H46" s="187"/>
      <c r="I46" s="186"/>
      <c r="J46" s="182"/>
      <c r="K46" s="183"/>
      <c r="L46" s="119"/>
      <c r="M46" s="119"/>
      <c r="N46" s="119"/>
    </row>
    <row r="47" ht="15.75" customHeight="1">
      <c r="A47" s="119"/>
      <c r="B47" s="184"/>
      <c r="C47" s="178"/>
      <c r="D47" s="179"/>
      <c r="E47" s="179"/>
      <c r="F47" s="179"/>
      <c r="G47" s="179"/>
      <c r="H47" s="187"/>
      <c r="I47" s="186"/>
      <c r="J47" s="182"/>
      <c r="K47" s="183"/>
      <c r="L47" s="119"/>
      <c r="M47" s="119"/>
      <c r="N47" s="119"/>
    </row>
    <row r="48" ht="15.75" customHeight="1">
      <c r="A48" s="119"/>
      <c r="B48" s="184"/>
      <c r="C48" s="178"/>
      <c r="D48" s="179"/>
      <c r="E48" s="179"/>
      <c r="F48" s="179"/>
      <c r="G48" s="179"/>
      <c r="H48" s="187"/>
      <c r="I48" s="186"/>
      <c r="J48" s="182"/>
      <c r="K48" s="183"/>
      <c r="L48" s="119"/>
      <c r="M48" s="119"/>
      <c r="N48" s="119"/>
    </row>
    <row r="49" ht="15.75" customHeight="1">
      <c r="A49" s="119"/>
      <c r="B49" s="184"/>
      <c r="C49" s="178"/>
      <c r="D49" s="179"/>
      <c r="E49" s="179"/>
      <c r="F49" s="179"/>
      <c r="G49" s="179"/>
      <c r="H49" s="187"/>
      <c r="I49" s="181"/>
      <c r="J49" s="182"/>
      <c r="K49" s="183"/>
      <c r="L49" s="119"/>
      <c r="M49" s="119"/>
      <c r="N49" s="119"/>
    </row>
    <row r="50" ht="15.75" customHeight="1">
      <c r="A50" s="119"/>
      <c r="B50" s="184"/>
      <c r="C50" s="178"/>
      <c r="D50" s="179"/>
      <c r="E50" s="179"/>
      <c r="F50" s="179"/>
      <c r="G50" s="179"/>
      <c r="H50" s="187"/>
      <c r="I50" s="186"/>
      <c r="J50" s="182"/>
      <c r="K50" s="183"/>
      <c r="L50" s="119"/>
      <c r="M50" s="119"/>
      <c r="N50" s="119"/>
    </row>
    <row r="51" ht="15.75" customHeight="1">
      <c r="A51" s="119"/>
      <c r="B51" s="184"/>
      <c r="C51" s="178"/>
      <c r="D51" s="179"/>
      <c r="E51" s="179"/>
      <c r="F51" s="179"/>
      <c r="G51" s="179"/>
      <c r="H51" s="187"/>
      <c r="I51" s="186"/>
      <c r="J51" s="182"/>
      <c r="K51" s="183"/>
      <c r="L51" s="119"/>
      <c r="M51" s="119"/>
      <c r="N51" s="119"/>
    </row>
    <row r="52" ht="15.75" customHeight="1">
      <c r="A52" s="119"/>
      <c r="B52" s="184"/>
      <c r="C52" s="178"/>
      <c r="D52" s="179"/>
      <c r="E52" s="179"/>
      <c r="F52" s="179"/>
      <c r="G52" s="179"/>
      <c r="H52" s="187"/>
      <c r="I52" s="186"/>
      <c r="J52" s="182"/>
      <c r="K52" s="183"/>
      <c r="L52" s="119"/>
      <c r="M52" s="119"/>
      <c r="N52" s="119"/>
    </row>
    <row r="53" ht="15.75" customHeight="1">
      <c r="A53" s="119"/>
      <c r="B53" s="184"/>
      <c r="C53" s="178"/>
      <c r="D53" s="179"/>
      <c r="E53" s="179"/>
      <c r="F53" s="179"/>
      <c r="G53" s="179"/>
      <c r="H53" s="187"/>
      <c r="I53" s="186"/>
      <c r="J53" s="182"/>
      <c r="K53" s="183"/>
      <c r="L53" s="119"/>
      <c r="M53" s="119"/>
      <c r="N53" s="119"/>
    </row>
    <row r="54" ht="15.75" customHeight="1">
      <c r="A54" s="119"/>
      <c r="B54" s="184"/>
      <c r="C54" s="178"/>
      <c r="D54" s="179"/>
      <c r="E54" s="179"/>
      <c r="F54" s="179"/>
      <c r="G54" s="179"/>
      <c r="H54" s="187"/>
      <c r="I54" s="186"/>
      <c r="J54" s="182"/>
      <c r="K54" s="183"/>
      <c r="L54" s="119"/>
      <c r="M54" s="119"/>
      <c r="N54" s="119"/>
    </row>
    <row r="55" ht="15.75" customHeight="1">
      <c r="A55" s="119"/>
      <c r="B55" s="184"/>
      <c r="C55" s="178"/>
      <c r="D55" s="179"/>
      <c r="E55" s="179"/>
      <c r="F55" s="179"/>
      <c r="G55" s="179"/>
      <c r="H55" s="187"/>
      <c r="I55" s="186"/>
      <c r="J55" s="182"/>
      <c r="K55" s="183"/>
      <c r="L55" s="119"/>
      <c r="M55" s="119"/>
      <c r="N55" s="119"/>
    </row>
    <row r="56" ht="15.75" customHeight="1">
      <c r="A56" s="119"/>
      <c r="B56" s="184"/>
      <c r="C56" s="178"/>
      <c r="D56" s="179"/>
      <c r="E56" s="179"/>
      <c r="F56" s="179"/>
      <c r="G56" s="179"/>
      <c r="H56" s="187"/>
      <c r="I56" s="186"/>
      <c r="J56" s="182"/>
      <c r="K56" s="183"/>
      <c r="L56" s="119"/>
      <c r="M56" s="119"/>
      <c r="N56" s="119"/>
    </row>
    <row r="57" ht="15.75" customHeight="1">
      <c r="A57" s="119"/>
      <c r="B57" s="184"/>
      <c r="C57" s="178"/>
      <c r="D57" s="179"/>
      <c r="E57" s="179"/>
      <c r="F57" s="179"/>
      <c r="G57" s="179"/>
      <c r="H57" s="187"/>
      <c r="I57" s="186"/>
      <c r="J57" s="182"/>
      <c r="K57" s="183"/>
      <c r="L57" s="119"/>
      <c r="M57" s="119"/>
      <c r="N57" s="119"/>
    </row>
    <row r="58" ht="15.75" customHeight="1">
      <c r="A58" s="119"/>
      <c r="B58" s="184"/>
      <c r="C58" s="178"/>
      <c r="D58" s="179"/>
      <c r="E58" s="179"/>
      <c r="F58" s="179"/>
      <c r="G58" s="179"/>
      <c r="H58" s="187"/>
      <c r="I58" s="186"/>
      <c r="J58" s="182"/>
      <c r="K58" s="183"/>
      <c r="L58" s="119"/>
      <c r="M58" s="119"/>
      <c r="N58" s="119"/>
    </row>
    <row r="59" ht="15.75" customHeight="1">
      <c r="A59" s="119"/>
      <c r="B59" s="184"/>
      <c r="C59" s="178"/>
      <c r="D59" s="179"/>
      <c r="E59" s="179"/>
      <c r="F59" s="179"/>
      <c r="G59" s="179"/>
      <c r="H59" s="187"/>
      <c r="I59" s="186"/>
      <c r="J59" s="182"/>
      <c r="K59" s="183"/>
      <c r="L59" s="119"/>
      <c r="M59" s="119"/>
      <c r="N59" s="119"/>
    </row>
    <row r="60" ht="15.75" customHeight="1">
      <c r="A60" s="119"/>
      <c r="B60" s="119"/>
      <c r="C60" s="119"/>
      <c r="D60" s="119"/>
      <c r="E60" s="119"/>
      <c r="F60" s="119"/>
      <c r="G60" s="119"/>
      <c r="H60" s="119"/>
      <c r="I60" s="119"/>
      <c r="J60" s="119"/>
      <c r="K60" s="119"/>
      <c r="L60" s="119"/>
      <c r="M60" s="119"/>
      <c r="N60" s="119"/>
    </row>
    <row r="61" ht="9.75" customHeight="1">
      <c r="A61" s="122"/>
      <c r="B61" s="122"/>
      <c r="C61" s="156"/>
      <c r="D61" s="156"/>
      <c r="E61" s="156"/>
      <c r="F61" s="156"/>
      <c r="G61" s="156"/>
      <c r="H61" s="156"/>
      <c r="I61" s="156"/>
      <c r="J61" s="156"/>
      <c r="K61" s="156"/>
      <c r="L61" s="156"/>
      <c r="M61" s="156"/>
      <c r="N61" s="156"/>
    </row>
    <row r="62" ht="34.5" customHeight="1">
      <c r="A62" s="122"/>
      <c r="B62" s="188" t="s">
        <v>705</v>
      </c>
      <c r="C62" s="156"/>
      <c r="D62" s="156"/>
      <c r="E62" s="156"/>
      <c r="F62" s="156"/>
      <c r="G62" s="156"/>
      <c r="H62" s="156"/>
      <c r="I62" s="156"/>
      <c r="J62" s="156"/>
      <c r="K62" s="156"/>
      <c r="L62" s="156"/>
      <c r="M62" s="156"/>
      <c r="N62" s="156"/>
    </row>
    <row r="63" ht="39.75" customHeight="1">
      <c r="A63" s="172"/>
      <c r="B63" s="189" t="s">
        <v>706</v>
      </c>
      <c r="C63" s="189" t="s">
        <v>707</v>
      </c>
      <c r="D63" s="190" t="s">
        <v>645</v>
      </c>
      <c r="E63" s="191" t="s">
        <v>698</v>
      </c>
      <c r="F63" s="191" t="s">
        <v>708</v>
      </c>
      <c r="G63" s="191" t="s">
        <v>709</v>
      </c>
      <c r="H63" s="191" t="s">
        <v>710</v>
      </c>
      <c r="I63" s="194" t="s">
        <v>701</v>
      </c>
      <c r="J63" s="193" t="s">
        <v>711</v>
      </c>
      <c r="K63" s="194" t="s">
        <v>712</v>
      </c>
      <c r="L63" s="176" t="s">
        <v>713</v>
      </c>
      <c r="M63" s="176" t="s">
        <v>652</v>
      </c>
      <c r="N63" s="172"/>
    </row>
    <row r="64">
      <c r="A64" s="119"/>
      <c r="B64" s="195"/>
      <c r="C64" s="196"/>
      <c r="D64" s="179"/>
      <c r="E64" s="179"/>
      <c r="F64" s="179"/>
      <c r="G64" s="179"/>
      <c r="H64" s="179"/>
      <c r="I64" s="179"/>
      <c r="J64" s="198"/>
      <c r="K64" s="199"/>
      <c r="L64" s="182"/>
      <c r="M64" s="183"/>
      <c r="N64" s="119"/>
    </row>
    <row r="65">
      <c r="A65" s="119"/>
      <c r="B65" s="202"/>
      <c r="C65" s="196"/>
      <c r="D65" s="179"/>
      <c r="E65" s="179"/>
      <c r="F65" s="179"/>
      <c r="G65" s="179"/>
      <c r="H65" s="179"/>
      <c r="I65" s="179"/>
      <c r="J65" s="198"/>
      <c r="K65" s="199"/>
      <c r="L65" s="182"/>
      <c r="M65" s="183"/>
      <c r="N65" s="119"/>
    </row>
    <row r="66">
      <c r="A66" s="119"/>
      <c r="B66" s="202"/>
      <c r="C66" s="196"/>
      <c r="D66" s="179"/>
      <c r="E66" s="179"/>
      <c r="F66" s="179"/>
      <c r="G66" s="179"/>
      <c r="H66" s="179"/>
      <c r="I66" s="179"/>
      <c r="J66" s="198"/>
      <c r="K66" s="199"/>
      <c r="L66" s="182"/>
      <c r="M66" s="183"/>
      <c r="N66" s="119"/>
    </row>
    <row r="67">
      <c r="A67" s="119"/>
      <c r="B67" s="202"/>
      <c r="C67" s="196"/>
      <c r="D67" s="179"/>
      <c r="E67" s="179"/>
      <c r="F67" s="179"/>
      <c r="G67" s="179"/>
      <c r="H67" s="179"/>
      <c r="I67" s="179"/>
      <c r="J67" s="201"/>
      <c r="K67" s="199"/>
      <c r="L67" s="182"/>
      <c r="M67" s="183"/>
      <c r="N67" s="119"/>
    </row>
    <row r="68">
      <c r="A68" s="119"/>
      <c r="B68" s="202"/>
      <c r="C68" s="196"/>
      <c r="D68" s="179"/>
      <c r="E68" s="179"/>
      <c r="F68" s="179"/>
      <c r="G68" s="179"/>
      <c r="H68" s="179"/>
      <c r="I68" s="179"/>
      <c r="J68" s="201"/>
      <c r="K68" s="199"/>
      <c r="L68" s="182"/>
      <c r="M68" s="183"/>
      <c r="N68" s="119"/>
    </row>
    <row r="69">
      <c r="A69" s="119"/>
      <c r="B69" s="202"/>
      <c r="C69" s="196"/>
      <c r="D69" s="179"/>
      <c r="E69" s="179"/>
      <c r="F69" s="179"/>
      <c r="G69" s="179"/>
      <c r="H69" s="179"/>
      <c r="I69" s="179"/>
      <c r="J69" s="201"/>
      <c r="K69" s="199"/>
      <c r="L69" s="182"/>
      <c r="M69" s="183"/>
      <c r="N69" s="119"/>
    </row>
    <row r="70">
      <c r="A70" s="119"/>
      <c r="B70" s="202"/>
      <c r="C70" s="196"/>
      <c r="D70" s="197"/>
      <c r="E70" s="179"/>
      <c r="F70" s="179"/>
      <c r="G70" s="179"/>
      <c r="H70" s="179"/>
      <c r="I70" s="179"/>
      <c r="J70" s="201"/>
      <c r="K70" s="199"/>
      <c r="L70" s="182"/>
      <c r="M70" s="183"/>
      <c r="N70" s="119"/>
    </row>
    <row r="71">
      <c r="A71" s="119"/>
      <c r="B71" s="202"/>
      <c r="C71" s="196"/>
      <c r="D71" s="197"/>
      <c r="E71" s="179"/>
      <c r="F71" s="179"/>
      <c r="G71" s="179"/>
      <c r="H71" s="179"/>
      <c r="I71" s="179"/>
      <c r="J71" s="201"/>
      <c r="K71" s="199"/>
      <c r="L71" s="182"/>
      <c r="M71" s="183"/>
      <c r="N71" s="119"/>
    </row>
    <row r="72">
      <c r="A72" s="119"/>
      <c r="B72" s="202"/>
      <c r="C72" s="196"/>
      <c r="D72" s="197"/>
      <c r="E72" s="179"/>
      <c r="F72" s="179"/>
      <c r="G72" s="179"/>
      <c r="H72" s="179"/>
      <c r="I72" s="179"/>
      <c r="J72" s="201"/>
      <c r="K72" s="199"/>
      <c r="L72" s="182"/>
      <c r="M72" s="183"/>
      <c r="N72" s="119"/>
    </row>
    <row r="73">
      <c r="A73" s="119"/>
      <c r="B73" s="202"/>
      <c r="C73" s="196"/>
      <c r="D73" s="197"/>
      <c r="E73" s="179"/>
      <c r="F73" s="179"/>
      <c r="G73" s="179"/>
      <c r="H73" s="179"/>
      <c r="I73" s="179"/>
      <c r="J73" s="201"/>
      <c r="K73" s="199"/>
      <c r="L73" s="182"/>
      <c r="M73" s="183"/>
      <c r="N73" s="119"/>
    </row>
    <row r="74">
      <c r="A74" s="119"/>
      <c r="B74" s="202"/>
      <c r="C74" s="196"/>
      <c r="D74" s="197"/>
      <c r="E74" s="179"/>
      <c r="F74" s="179"/>
      <c r="G74" s="179"/>
      <c r="H74" s="179"/>
      <c r="I74" s="179"/>
      <c r="J74" s="201"/>
      <c r="K74" s="199"/>
      <c r="L74" s="182"/>
      <c r="M74" s="183"/>
      <c r="N74" s="119"/>
    </row>
    <row r="75">
      <c r="A75" s="119"/>
      <c r="B75" s="202"/>
      <c r="C75" s="196"/>
      <c r="D75" s="197"/>
      <c r="E75" s="179"/>
      <c r="F75" s="179"/>
      <c r="G75" s="179"/>
      <c r="H75" s="179"/>
      <c r="I75" s="179"/>
      <c r="J75" s="201"/>
      <c r="K75" s="199"/>
      <c r="L75" s="182"/>
      <c r="M75" s="183"/>
      <c r="N75" s="119"/>
    </row>
    <row r="76">
      <c r="A76" s="119"/>
      <c r="B76" s="202"/>
      <c r="C76" s="196"/>
      <c r="D76" s="197"/>
      <c r="E76" s="179"/>
      <c r="F76" s="179"/>
      <c r="G76" s="179"/>
      <c r="H76" s="179"/>
      <c r="I76" s="179"/>
      <c r="J76" s="201"/>
      <c r="K76" s="199"/>
      <c r="L76" s="182"/>
      <c r="M76" s="183"/>
      <c r="N76" s="119"/>
    </row>
    <row r="77">
      <c r="A77" s="119"/>
      <c r="B77" s="202"/>
      <c r="C77" s="196"/>
      <c r="D77" s="197"/>
      <c r="E77" s="179"/>
      <c r="F77" s="179"/>
      <c r="G77" s="179"/>
      <c r="H77" s="179"/>
      <c r="I77" s="179"/>
      <c r="J77" s="201"/>
      <c r="K77" s="199"/>
      <c r="L77" s="182"/>
      <c r="M77" s="183"/>
      <c r="N77" s="119"/>
    </row>
    <row r="78">
      <c r="A78" s="119"/>
      <c r="B78" s="202"/>
      <c r="C78" s="196"/>
      <c r="D78" s="197"/>
      <c r="E78" s="179"/>
      <c r="F78" s="179"/>
      <c r="G78" s="179"/>
      <c r="H78" s="179"/>
      <c r="I78" s="179"/>
      <c r="J78" s="201"/>
      <c r="K78" s="199"/>
      <c r="L78" s="182"/>
      <c r="M78" s="183"/>
      <c r="N78" s="119"/>
    </row>
    <row r="79">
      <c r="A79" s="119"/>
      <c r="B79" s="202"/>
      <c r="C79" s="196"/>
      <c r="D79" s="197"/>
      <c r="E79" s="179"/>
      <c r="F79" s="179"/>
      <c r="G79" s="179"/>
      <c r="H79" s="179"/>
      <c r="I79" s="179"/>
      <c r="J79" s="201"/>
      <c r="K79" s="199"/>
      <c r="L79" s="182"/>
      <c r="M79" s="183"/>
      <c r="N79" s="119"/>
    </row>
    <row r="80">
      <c r="A80" s="119"/>
      <c r="B80" s="202"/>
      <c r="C80" s="196"/>
      <c r="D80" s="197"/>
      <c r="E80" s="179"/>
      <c r="F80" s="179"/>
      <c r="G80" s="179"/>
      <c r="H80" s="179"/>
      <c r="I80" s="179"/>
      <c r="J80" s="201"/>
      <c r="K80" s="199"/>
      <c r="L80" s="182"/>
      <c r="M80" s="183"/>
      <c r="N80" s="119"/>
    </row>
    <row r="81">
      <c r="A81" s="119"/>
      <c r="B81" s="202"/>
      <c r="C81" s="196"/>
      <c r="D81" s="197"/>
      <c r="E81" s="179"/>
      <c r="F81" s="179"/>
      <c r="G81" s="179"/>
      <c r="H81" s="179"/>
      <c r="I81" s="179"/>
      <c r="J81" s="201"/>
      <c r="K81" s="199"/>
      <c r="L81" s="182"/>
      <c r="M81" s="183"/>
      <c r="N81" s="119"/>
    </row>
    <row r="82">
      <c r="A82" s="119"/>
      <c r="B82" s="202"/>
      <c r="C82" s="196"/>
      <c r="D82" s="197"/>
      <c r="E82" s="179"/>
      <c r="F82" s="179"/>
      <c r="G82" s="179"/>
      <c r="H82" s="179"/>
      <c r="I82" s="179"/>
      <c r="J82" s="201"/>
      <c r="K82" s="199"/>
      <c r="L82" s="182"/>
      <c r="M82" s="183"/>
      <c r="N82" s="119"/>
    </row>
    <row r="83">
      <c r="A83" s="119"/>
      <c r="B83" s="202"/>
      <c r="C83" s="196"/>
      <c r="D83" s="197"/>
      <c r="E83" s="179"/>
      <c r="F83" s="179"/>
      <c r="G83" s="179"/>
      <c r="H83" s="179"/>
      <c r="I83" s="179"/>
      <c r="J83" s="201"/>
      <c r="K83" s="199"/>
      <c r="L83" s="182"/>
      <c r="M83" s="183"/>
      <c r="N83" s="119"/>
    </row>
    <row r="84">
      <c r="A84" s="119"/>
      <c r="B84" s="202"/>
      <c r="C84" s="196"/>
      <c r="D84" s="197"/>
      <c r="E84" s="179"/>
      <c r="F84" s="179"/>
      <c r="G84" s="179"/>
      <c r="H84" s="179"/>
      <c r="I84" s="179"/>
      <c r="J84" s="201"/>
      <c r="K84" s="199"/>
      <c r="L84" s="182"/>
      <c r="M84" s="183"/>
      <c r="N84" s="119"/>
    </row>
    <row r="85">
      <c r="A85" s="119"/>
      <c r="B85" s="202"/>
      <c r="C85" s="196"/>
      <c r="D85" s="197"/>
      <c r="E85" s="179"/>
      <c r="F85" s="179"/>
      <c r="G85" s="179"/>
      <c r="H85" s="179"/>
      <c r="I85" s="179"/>
      <c r="J85" s="201"/>
      <c r="K85" s="199"/>
      <c r="L85" s="182"/>
      <c r="M85" s="183"/>
      <c r="N85" s="119"/>
    </row>
    <row r="86">
      <c r="A86" s="119"/>
      <c r="B86" s="202"/>
      <c r="C86" s="196"/>
      <c r="D86" s="197"/>
      <c r="E86" s="179"/>
      <c r="F86" s="179"/>
      <c r="G86" s="179"/>
      <c r="H86" s="179"/>
      <c r="I86" s="179"/>
      <c r="J86" s="201"/>
      <c r="K86" s="199"/>
      <c r="L86" s="182"/>
      <c r="M86" s="183"/>
      <c r="N86" s="119"/>
    </row>
    <row r="87">
      <c r="A87" s="119"/>
      <c r="B87" s="202"/>
      <c r="C87" s="196"/>
      <c r="D87" s="197"/>
      <c r="E87" s="179"/>
      <c r="F87" s="179"/>
      <c r="G87" s="179"/>
      <c r="H87" s="179"/>
      <c r="I87" s="179"/>
      <c r="J87" s="201"/>
      <c r="K87" s="199"/>
      <c r="L87" s="182"/>
      <c r="M87" s="183"/>
      <c r="N87" s="119"/>
    </row>
    <row r="88">
      <c r="A88" s="119"/>
      <c r="B88" s="202"/>
      <c r="C88" s="196"/>
      <c r="D88" s="197"/>
      <c r="E88" s="179"/>
      <c r="F88" s="179"/>
      <c r="G88" s="179"/>
      <c r="H88" s="179"/>
      <c r="I88" s="179"/>
      <c r="J88" s="201"/>
      <c r="K88" s="199"/>
      <c r="L88" s="182"/>
      <c r="M88" s="183"/>
      <c r="N88" s="119"/>
    </row>
    <row r="89">
      <c r="A89" s="119"/>
      <c r="B89" s="202"/>
      <c r="C89" s="196"/>
      <c r="D89" s="197"/>
      <c r="E89" s="179"/>
      <c r="F89" s="179"/>
      <c r="G89" s="179"/>
      <c r="H89" s="179"/>
      <c r="I89" s="179"/>
      <c r="J89" s="201"/>
      <c r="K89" s="199"/>
      <c r="L89" s="182"/>
      <c r="M89" s="183"/>
      <c r="N89" s="119"/>
    </row>
    <row r="90">
      <c r="A90" s="119"/>
      <c r="B90" s="202"/>
      <c r="C90" s="196"/>
      <c r="D90" s="197"/>
      <c r="E90" s="179"/>
      <c r="F90" s="179"/>
      <c r="G90" s="179"/>
      <c r="H90" s="179"/>
      <c r="I90" s="179"/>
      <c r="J90" s="201"/>
      <c r="K90" s="199"/>
      <c r="L90" s="182"/>
      <c r="M90" s="183"/>
      <c r="N90" s="119"/>
    </row>
    <row r="91">
      <c r="A91" s="119"/>
      <c r="B91" s="202"/>
      <c r="C91" s="196"/>
      <c r="D91" s="197"/>
      <c r="E91" s="179"/>
      <c r="F91" s="179"/>
      <c r="G91" s="179"/>
      <c r="H91" s="179"/>
      <c r="I91" s="179"/>
      <c r="J91" s="201"/>
      <c r="K91" s="199"/>
      <c r="L91" s="182"/>
      <c r="M91" s="183"/>
      <c r="N91" s="119"/>
    </row>
    <row r="92">
      <c r="A92" s="119"/>
      <c r="B92" s="202"/>
      <c r="C92" s="196"/>
      <c r="D92" s="197"/>
      <c r="E92" s="179"/>
      <c r="F92" s="179"/>
      <c r="G92" s="179"/>
      <c r="H92" s="179"/>
      <c r="I92" s="179"/>
      <c r="J92" s="201"/>
      <c r="K92" s="199"/>
      <c r="L92" s="182"/>
      <c r="M92" s="183"/>
      <c r="N92" s="119"/>
    </row>
    <row r="93">
      <c r="A93" s="119"/>
      <c r="B93" s="202"/>
      <c r="C93" s="196"/>
      <c r="D93" s="197"/>
      <c r="E93" s="179"/>
      <c r="F93" s="179"/>
      <c r="G93" s="179"/>
      <c r="H93" s="179"/>
      <c r="I93" s="179"/>
      <c r="J93" s="201"/>
      <c r="K93" s="199"/>
      <c r="L93" s="182"/>
      <c r="M93" s="183"/>
      <c r="N93" s="119"/>
    </row>
    <row r="94">
      <c r="A94" s="119"/>
      <c r="B94" s="202"/>
      <c r="C94" s="196"/>
      <c r="D94" s="197"/>
      <c r="E94" s="179"/>
      <c r="F94" s="179"/>
      <c r="G94" s="179"/>
      <c r="H94" s="179"/>
      <c r="I94" s="179"/>
      <c r="J94" s="201"/>
      <c r="K94" s="199"/>
      <c r="L94" s="182"/>
      <c r="M94" s="183"/>
      <c r="N94" s="119"/>
    </row>
    <row r="95">
      <c r="A95" s="119"/>
      <c r="B95" s="202"/>
      <c r="C95" s="196"/>
      <c r="D95" s="197"/>
      <c r="E95" s="179"/>
      <c r="F95" s="179"/>
      <c r="G95" s="179"/>
      <c r="H95" s="179"/>
      <c r="I95" s="179"/>
      <c r="J95" s="201"/>
      <c r="K95" s="199"/>
      <c r="L95" s="182"/>
      <c r="M95" s="183"/>
      <c r="N95" s="119"/>
    </row>
    <row r="96">
      <c r="A96" s="119"/>
      <c r="B96" s="202"/>
      <c r="C96" s="196"/>
      <c r="D96" s="197"/>
      <c r="E96" s="179"/>
      <c r="F96" s="179"/>
      <c r="G96" s="179"/>
      <c r="H96" s="179"/>
      <c r="I96" s="179"/>
      <c r="J96" s="201"/>
      <c r="K96" s="199"/>
      <c r="L96" s="182"/>
      <c r="M96" s="183"/>
      <c r="N96" s="119"/>
    </row>
    <row r="97">
      <c r="A97" s="119"/>
      <c r="B97" s="202"/>
      <c r="C97" s="196"/>
      <c r="D97" s="197"/>
      <c r="E97" s="179"/>
      <c r="F97" s="179"/>
      <c r="G97" s="179"/>
      <c r="H97" s="179"/>
      <c r="I97" s="179"/>
      <c r="J97" s="201"/>
      <c r="K97" s="199"/>
      <c r="L97" s="182"/>
      <c r="M97" s="183"/>
      <c r="N97" s="119"/>
    </row>
    <row r="98">
      <c r="A98" s="119"/>
      <c r="B98" s="202"/>
      <c r="C98" s="196"/>
      <c r="D98" s="197"/>
      <c r="E98" s="179"/>
      <c r="F98" s="179"/>
      <c r="G98" s="179"/>
      <c r="H98" s="179"/>
      <c r="I98" s="179"/>
      <c r="J98" s="201"/>
      <c r="K98" s="199"/>
      <c r="L98" s="182"/>
      <c r="M98" s="183"/>
      <c r="N98" s="119"/>
    </row>
    <row r="99">
      <c r="A99" s="119"/>
      <c r="B99" s="202"/>
      <c r="C99" s="196"/>
      <c r="D99" s="197"/>
      <c r="E99" s="179"/>
      <c r="F99" s="179"/>
      <c r="G99" s="179"/>
      <c r="H99" s="179"/>
      <c r="I99" s="179"/>
      <c r="J99" s="201"/>
      <c r="K99" s="199"/>
      <c r="L99" s="182"/>
      <c r="M99" s="183"/>
      <c r="N99" s="119"/>
    </row>
    <row r="100">
      <c r="A100" s="119"/>
      <c r="B100" s="202"/>
      <c r="C100" s="196"/>
      <c r="D100" s="197"/>
      <c r="E100" s="179"/>
      <c r="F100" s="179"/>
      <c r="G100" s="179"/>
      <c r="H100" s="179"/>
      <c r="I100" s="179"/>
      <c r="J100" s="201"/>
      <c r="K100" s="199"/>
      <c r="L100" s="182"/>
      <c r="M100" s="183"/>
      <c r="N100" s="119"/>
    </row>
    <row r="101">
      <c r="A101" s="119"/>
      <c r="B101" s="202"/>
      <c r="C101" s="196"/>
      <c r="D101" s="197"/>
      <c r="E101" s="179"/>
      <c r="F101" s="179"/>
      <c r="G101" s="179"/>
      <c r="H101" s="179"/>
      <c r="I101" s="179"/>
      <c r="J101" s="201"/>
      <c r="K101" s="199"/>
      <c r="L101" s="182"/>
      <c r="M101" s="183"/>
      <c r="N101" s="119"/>
    </row>
    <row r="102">
      <c r="A102" s="119"/>
      <c r="B102" s="202"/>
      <c r="C102" s="196"/>
      <c r="D102" s="197"/>
      <c r="E102" s="179"/>
      <c r="F102" s="179"/>
      <c r="G102" s="179"/>
      <c r="H102" s="179"/>
      <c r="I102" s="179"/>
      <c r="J102" s="201"/>
      <c r="K102" s="199"/>
      <c r="L102" s="182"/>
      <c r="M102" s="183"/>
      <c r="N102" s="119"/>
    </row>
    <row r="103">
      <c r="A103" s="119"/>
      <c r="B103" s="202"/>
      <c r="C103" s="196"/>
      <c r="D103" s="197"/>
      <c r="E103" s="179"/>
      <c r="F103" s="179"/>
      <c r="G103" s="179"/>
      <c r="H103" s="179"/>
      <c r="I103" s="179"/>
      <c r="J103" s="201"/>
      <c r="K103" s="199"/>
      <c r="L103" s="182"/>
      <c r="M103" s="183"/>
      <c r="N103" s="119"/>
    </row>
    <row r="104">
      <c r="A104" s="119"/>
      <c r="B104" s="202"/>
      <c r="C104" s="196"/>
      <c r="D104" s="197"/>
      <c r="E104" s="179"/>
      <c r="F104" s="179"/>
      <c r="G104" s="179"/>
      <c r="H104" s="179"/>
      <c r="I104" s="179"/>
      <c r="J104" s="201"/>
      <c r="K104" s="199"/>
      <c r="L104" s="182"/>
      <c r="M104" s="183"/>
      <c r="N104" s="119"/>
    </row>
    <row r="105">
      <c r="A105" s="119"/>
      <c r="B105" s="202"/>
      <c r="C105" s="196"/>
      <c r="D105" s="197"/>
      <c r="E105" s="179"/>
      <c r="F105" s="179"/>
      <c r="G105" s="179"/>
      <c r="H105" s="179"/>
      <c r="I105" s="179"/>
      <c r="J105" s="201"/>
      <c r="K105" s="199"/>
      <c r="L105" s="182"/>
      <c r="M105" s="183"/>
      <c r="N105" s="119"/>
    </row>
    <row r="106">
      <c r="A106" s="119"/>
      <c r="B106" s="202"/>
      <c r="C106" s="196"/>
      <c r="D106" s="197"/>
      <c r="E106" s="179"/>
      <c r="F106" s="179"/>
      <c r="G106" s="179"/>
      <c r="H106" s="179"/>
      <c r="I106" s="179"/>
      <c r="J106" s="201"/>
      <c r="K106" s="199"/>
      <c r="L106" s="182"/>
      <c r="M106" s="183"/>
      <c r="N106" s="119"/>
    </row>
    <row r="107">
      <c r="A107" s="119"/>
      <c r="B107" s="202"/>
      <c r="C107" s="196"/>
      <c r="D107" s="197"/>
      <c r="E107" s="179"/>
      <c r="F107" s="179"/>
      <c r="G107" s="179"/>
      <c r="H107" s="179"/>
      <c r="I107" s="179"/>
      <c r="J107" s="201"/>
      <c r="K107" s="199"/>
      <c r="L107" s="182"/>
      <c r="M107" s="183"/>
      <c r="N107" s="119"/>
    </row>
    <row r="108">
      <c r="A108" s="119"/>
      <c r="B108" s="202"/>
      <c r="C108" s="196"/>
      <c r="D108" s="197"/>
      <c r="E108" s="179"/>
      <c r="F108" s="179"/>
      <c r="G108" s="179"/>
      <c r="H108" s="179"/>
      <c r="I108" s="179"/>
      <c r="J108" s="201"/>
      <c r="K108" s="199"/>
      <c r="L108" s="182"/>
      <c r="M108" s="183"/>
      <c r="N108" s="119"/>
    </row>
    <row r="109">
      <c r="A109" s="119"/>
      <c r="B109" s="202"/>
      <c r="C109" s="196"/>
      <c r="D109" s="197"/>
      <c r="E109" s="179"/>
      <c r="F109" s="179"/>
      <c r="G109" s="179"/>
      <c r="H109" s="179"/>
      <c r="I109" s="179"/>
      <c r="J109" s="201"/>
      <c r="K109" s="199"/>
      <c r="L109" s="182"/>
      <c r="M109" s="183"/>
      <c r="N109" s="119"/>
    </row>
    <row r="110">
      <c r="A110" s="119"/>
      <c r="B110" s="202"/>
      <c r="C110" s="196"/>
      <c r="D110" s="197"/>
      <c r="E110" s="179"/>
      <c r="F110" s="179"/>
      <c r="G110" s="179"/>
      <c r="H110" s="179"/>
      <c r="I110" s="179"/>
      <c r="J110" s="201"/>
      <c r="K110" s="199"/>
      <c r="L110" s="182"/>
      <c r="M110" s="183"/>
      <c r="N110" s="119"/>
    </row>
    <row r="111">
      <c r="A111" s="119"/>
      <c r="B111" s="202"/>
      <c r="C111" s="196"/>
      <c r="D111" s="197"/>
      <c r="E111" s="179"/>
      <c r="F111" s="179"/>
      <c r="G111" s="179"/>
      <c r="H111" s="179"/>
      <c r="I111" s="179"/>
      <c r="J111" s="201"/>
      <c r="K111" s="199"/>
      <c r="L111" s="182"/>
      <c r="M111" s="183"/>
      <c r="N111" s="119"/>
    </row>
    <row r="112">
      <c r="A112" s="119"/>
      <c r="B112" s="202"/>
      <c r="C112" s="196"/>
      <c r="D112" s="197"/>
      <c r="E112" s="179"/>
      <c r="F112" s="179"/>
      <c r="G112" s="179"/>
      <c r="H112" s="179"/>
      <c r="I112" s="179"/>
      <c r="J112" s="201"/>
      <c r="K112" s="199"/>
      <c r="L112" s="182"/>
      <c r="M112" s="183"/>
      <c r="N112" s="119"/>
    </row>
    <row r="113">
      <c r="A113" s="119"/>
      <c r="B113" s="202"/>
      <c r="C113" s="196"/>
      <c r="D113" s="197"/>
      <c r="E113" s="179"/>
      <c r="F113" s="179"/>
      <c r="G113" s="179"/>
      <c r="H113" s="179"/>
      <c r="I113" s="179"/>
      <c r="J113" s="201"/>
      <c r="K113" s="199"/>
      <c r="L113" s="182"/>
      <c r="M113" s="183"/>
      <c r="N113" s="119"/>
    </row>
    <row r="114">
      <c r="A114" s="119"/>
      <c r="B114" s="202"/>
      <c r="C114" s="196"/>
      <c r="D114" s="197"/>
      <c r="E114" s="179"/>
      <c r="F114" s="179"/>
      <c r="G114" s="179"/>
      <c r="H114" s="179"/>
      <c r="I114" s="179"/>
      <c r="J114" s="201"/>
      <c r="K114" s="199"/>
      <c r="L114" s="182"/>
      <c r="M114" s="183"/>
      <c r="N114" s="119"/>
    </row>
    <row r="115">
      <c r="A115" s="119"/>
      <c r="B115" s="202"/>
      <c r="C115" s="196"/>
      <c r="D115" s="197"/>
      <c r="E115" s="179"/>
      <c r="F115" s="179"/>
      <c r="G115" s="179"/>
      <c r="H115" s="179"/>
      <c r="I115" s="179"/>
      <c r="J115" s="201"/>
      <c r="K115" s="199"/>
      <c r="L115" s="182"/>
      <c r="M115" s="183"/>
      <c r="N115" s="119"/>
    </row>
    <row r="116">
      <c r="A116" s="119"/>
      <c r="B116" s="202"/>
      <c r="C116" s="196"/>
      <c r="D116" s="197"/>
      <c r="E116" s="179"/>
      <c r="F116" s="179"/>
      <c r="G116" s="179"/>
      <c r="H116" s="179"/>
      <c r="I116" s="179"/>
      <c r="J116" s="201"/>
      <c r="K116" s="199"/>
      <c r="L116" s="182"/>
      <c r="M116" s="183"/>
      <c r="N116" s="119"/>
    </row>
    <row r="117">
      <c r="A117" s="119"/>
      <c r="B117" s="202"/>
      <c r="C117" s="196"/>
      <c r="D117" s="197"/>
      <c r="E117" s="179"/>
      <c r="F117" s="179"/>
      <c r="G117" s="179"/>
      <c r="H117" s="179"/>
      <c r="I117" s="179"/>
      <c r="J117" s="201"/>
      <c r="K117" s="199"/>
      <c r="L117" s="182"/>
      <c r="M117" s="183"/>
      <c r="N117" s="119"/>
    </row>
    <row r="118">
      <c r="A118" s="119"/>
      <c r="B118" s="202"/>
      <c r="C118" s="196"/>
      <c r="D118" s="197"/>
      <c r="E118" s="179"/>
      <c r="F118" s="179"/>
      <c r="G118" s="179"/>
      <c r="H118" s="179"/>
      <c r="I118" s="179"/>
      <c r="J118" s="201"/>
      <c r="K118" s="199"/>
      <c r="L118" s="182"/>
      <c r="M118" s="183"/>
      <c r="N118" s="119"/>
    </row>
    <row r="119">
      <c r="A119" s="119"/>
      <c r="B119" s="202"/>
      <c r="C119" s="196"/>
      <c r="D119" s="197"/>
      <c r="E119" s="179"/>
      <c r="F119" s="179"/>
      <c r="G119" s="179"/>
      <c r="H119" s="179"/>
      <c r="I119" s="179"/>
      <c r="J119" s="201"/>
      <c r="K119" s="199"/>
      <c r="L119" s="182"/>
      <c r="M119" s="183"/>
      <c r="N119" s="119"/>
    </row>
    <row r="120">
      <c r="A120" s="119"/>
      <c r="B120" s="202"/>
      <c r="C120" s="196"/>
      <c r="D120" s="197"/>
      <c r="E120" s="179"/>
      <c r="F120" s="179"/>
      <c r="G120" s="179"/>
      <c r="H120" s="179"/>
      <c r="I120" s="179"/>
      <c r="J120" s="201"/>
      <c r="K120" s="199"/>
      <c r="L120" s="182"/>
      <c r="M120" s="183"/>
      <c r="N120" s="119"/>
    </row>
    <row r="121">
      <c r="A121" s="119"/>
      <c r="B121" s="202"/>
      <c r="C121" s="196"/>
      <c r="D121" s="197"/>
      <c r="E121" s="179"/>
      <c r="F121" s="179"/>
      <c r="G121" s="179"/>
      <c r="H121" s="179"/>
      <c r="I121" s="179"/>
      <c r="J121" s="201"/>
      <c r="K121" s="199"/>
      <c r="L121" s="182"/>
      <c r="M121" s="183"/>
      <c r="N121" s="119"/>
    </row>
    <row r="122">
      <c r="A122" s="119"/>
      <c r="B122" s="202"/>
      <c r="C122" s="196"/>
      <c r="D122" s="197"/>
      <c r="E122" s="179"/>
      <c r="F122" s="179"/>
      <c r="G122" s="179"/>
      <c r="H122" s="179"/>
      <c r="I122" s="179"/>
      <c r="J122" s="201"/>
      <c r="K122" s="199"/>
      <c r="L122" s="182"/>
      <c r="M122" s="183"/>
      <c r="N122" s="119"/>
    </row>
    <row r="123">
      <c r="A123" s="119"/>
      <c r="B123" s="202"/>
      <c r="C123" s="196"/>
      <c r="D123" s="197"/>
      <c r="E123" s="179"/>
      <c r="F123" s="179"/>
      <c r="G123" s="179"/>
      <c r="H123" s="179"/>
      <c r="I123" s="179"/>
      <c r="J123" s="201"/>
      <c r="K123" s="199"/>
      <c r="L123" s="182"/>
      <c r="M123" s="183"/>
      <c r="N123" s="119"/>
    </row>
    <row r="124">
      <c r="A124" s="119"/>
      <c r="B124" s="202"/>
      <c r="C124" s="196"/>
      <c r="D124" s="197"/>
      <c r="E124" s="179"/>
      <c r="F124" s="179"/>
      <c r="G124" s="179"/>
      <c r="H124" s="179"/>
      <c r="I124" s="179"/>
      <c r="J124" s="201"/>
      <c r="K124" s="199"/>
      <c r="L124" s="182"/>
      <c r="M124" s="183"/>
      <c r="N124" s="119"/>
    </row>
    <row r="125">
      <c r="A125" s="119"/>
      <c r="B125" s="202"/>
      <c r="C125" s="196"/>
      <c r="D125" s="197"/>
      <c r="E125" s="179"/>
      <c r="F125" s="179"/>
      <c r="G125" s="179"/>
      <c r="H125" s="179"/>
      <c r="I125" s="179"/>
      <c r="J125" s="201"/>
      <c r="K125" s="199"/>
      <c r="L125" s="182"/>
      <c r="M125" s="183"/>
      <c r="N125" s="119"/>
    </row>
    <row r="126">
      <c r="A126" s="119"/>
      <c r="B126" s="202"/>
      <c r="C126" s="196"/>
      <c r="D126" s="197"/>
      <c r="E126" s="179"/>
      <c r="F126" s="179"/>
      <c r="G126" s="179"/>
      <c r="H126" s="179"/>
      <c r="I126" s="179"/>
      <c r="J126" s="201"/>
      <c r="K126" s="199"/>
      <c r="L126" s="182"/>
      <c r="M126" s="183"/>
      <c r="N126" s="119"/>
    </row>
    <row r="127">
      <c r="A127" s="119"/>
      <c r="B127" s="202"/>
      <c r="C127" s="196"/>
      <c r="D127" s="197"/>
      <c r="E127" s="179"/>
      <c r="F127" s="179"/>
      <c r="G127" s="179"/>
      <c r="H127" s="179"/>
      <c r="I127" s="179"/>
      <c r="J127" s="201"/>
      <c r="K127" s="199"/>
      <c r="L127" s="182"/>
      <c r="M127" s="183"/>
      <c r="N127" s="119"/>
    </row>
    <row r="128">
      <c r="A128" s="119"/>
      <c r="B128" s="202"/>
      <c r="C128" s="196"/>
      <c r="D128" s="197"/>
      <c r="E128" s="179"/>
      <c r="F128" s="179"/>
      <c r="G128" s="179"/>
      <c r="H128" s="179"/>
      <c r="I128" s="179"/>
      <c r="J128" s="201"/>
      <c r="K128" s="199"/>
      <c r="L128" s="182"/>
      <c r="M128" s="183"/>
      <c r="N128" s="119"/>
    </row>
    <row r="129">
      <c r="A129" s="119"/>
      <c r="B129" s="202"/>
      <c r="C129" s="196"/>
      <c r="D129" s="197"/>
      <c r="E129" s="179"/>
      <c r="F129" s="179"/>
      <c r="G129" s="179"/>
      <c r="H129" s="179"/>
      <c r="I129" s="179"/>
      <c r="J129" s="201"/>
      <c r="K129" s="199"/>
      <c r="L129" s="182"/>
      <c r="M129" s="183"/>
      <c r="N129" s="119"/>
    </row>
    <row r="130">
      <c r="A130" s="119"/>
      <c r="B130" s="202"/>
      <c r="C130" s="196"/>
      <c r="D130" s="197"/>
      <c r="E130" s="179"/>
      <c r="F130" s="179"/>
      <c r="G130" s="179"/>
      <c r="H130" s="179"/>
      <c r="I130" s="179"/>
      <c r="J130" s="201"/>
      <c r="K130" s="199"/>
      <c r="L130" s="182"/>
      <c r="M130" s="183"/>
      <c r="N130" s="119"/>
    </row>
    <row r="131">
      <c r="A131" s="119"/>
      <c r="B131" s="202"/>
      <c r="C131" s="196"/>
      <c r="D131" s="197"/>
      <c r="E131" s="179"/>
      <c r="F131" s="179"/>
      <c r="G131" s="179"/>
      <c r="H131" s="179"/>
      <c r="I131" s="179"/>
      <c r="J131" s="201"/>
      <c r="K131" s="199"/>
      <c r="L131" s="182"/>
      <c r="M131" s="183"/>
      <c r="N131" s="119"/>
    </row>
    <row r="132">
      <c r="A132" s="119"/>
      <c r="B132" s="202"/>
      <c r="C132" s="196"/>
      <c r="D132" s="197"/>
      <c r="E132" s="179"/>
      <c r="F132" s="179"/>
      <c r="G132" s="179"/>
      <c r="H132" s="179"/>
      <c r="I132" s="179"/>
      <c r="J132" s="201"/>
      <c r="K132" s="199"/>
      <c r="L132" s="182"/>
      <c r="M132" s="183"/>
      <c r="N132" s="119"/>
    </row>
    <row r="133">
      <c r="A133" s="119"/>
      <c r="B133" s="202"/>
      <c r="C133" s="196"/>
      <c r="D133" s="197"/>
      <c r="E133" s="179"/>
      <c r="F133" s="179"/>
      <c r="G133" s="179"/>
      <c r="H133" s="179"/>
      <c r="I133" s="179"/>
      <c r="J133" s="201"/>
      <c r="K133" s="199"/>
      <c r="L133" s="182"/>
      <c r="M133" s="183"/>
      <c r="N133" s="119"/>
    </row>
    <row r="134">
      <c r="A134" s="119"/>
      <c r="B134" s="202"/>
      <c r="C134" s="196"/>
      <c r="D134" s="197"/>
      <c r="E134" s="179"/>
      <c r="F134" s="179"/>
      <c r="G134" s="179"/>
      <c r="H134" s="179"/>
      <c r="I134" s="179"/>
      <c r="J134" s="201"/>
      <c r="K134" s="199"/>
      <c r="L134" s="182"/>
      <c r="M134" s="183"/>
      <c r="N134" s="119"/>
    </row>
    <row r="135">
      <c r="A135" s="119"/>
      <c r="B135" s="202"/>
      <c r="C135" s="196"/>
      <c r="D135" s="197"/>
      <c r="E135" s="179"/>
      <c r="F135" s="179"/>
      <c r="G135" s="179"/>
      <c r="H135" s="179"/>
      <c r="I135" s="179"/>
      <c r="J135" s="201"/>
      <c r="K135" s="199"/>
      <c r="L135" s="182"/>
      <c r="M135" s="183"/>
      <c r="N135" s="119"/>
    </row>
    <row r="136">
      <c r="A136" s="119"/>
      <c r="B136" s="202"/>
      <c r="C136" s="196"/>
      <c r="D136" s="197"/>
      <c r="E136" s="179"/>
      <c r="F136" s="179"/>
      <c r="G136" s="179"/>
      <c r="H136" s="179"/>
      <c r="I136" s="179"/>
      <c r="J136" s="201"/>
      <c r="K136" s="199"/>
      <c r="L136" s="182"/>
      <c r="M136" s="183"/>
      <c r="N136" s="119"/>
    </row>
    <row r="137">
      <c r="A137" s="119"/>
      <c r="B137" s="202"/>
      <c r="C137" s="196"/>
      <c r="D137" s="197"/>
      <c r="E137" s="179"/>
      <c r="F137" s="179"/>
      <c r="G137" s="179"/>
      <c r="H137" s="179"/>
      <c r="I137" s="179"/>
      <c r="J137" s="201"/>
      <c r="K137" s="199"/>
      <c r="L137" s="182"/>
      <c r="M137" s="183"/>
      <c r="N137" s="119"/>
    </row>
    <row r="138">
      <c r="A138" s="119"/>
      <c r="B138" s="202"/>
      <c r="C138" s="196"/>
      <c r="D138" s="197"/>
      <c r="E138" s="179"/>
      <c r="F138" s="179"/>
      <c r="G138" s="179"/>
      <c r="H138" s="179"/>
      <c r="I138" s="179"/>
      <c r="J138" s="201"/>
      <c r="K138" s="199"/>
      <c r="L138" s="182"/>
      <c r="M138" s="183"/>
      <c r="N138" s="119"/>
    </row>
    <row r="139">
      <c r="A139" s="119"/>
      <c r="B139" s="202"/>
      <c r="C139" s="196"/>
      <c r="D139" s="197"/>
      <c r="E139" s="179"/>
      <c r="F139" s="179"/>
      <c r="G139" s="179"/>
      <c r="H139" s="179"/>
      <c r="I139" s="179"/>
      <c r="J139" s="201"/>
      <c r="K139" s="199"/>
      <c r="L139" s="182"/>
      <c r="M139" s="183"/>
      <c r="N139" s="119"/>
    </row>
    <row r="140">
      <c r="A140" s="119"/>
      <c r="B140" s="202"/>
      <c r="C140" s="196"/>
      <c r="D140" s="197"/>
      <c r="E140" s="179"/>
      <c r="F140" s="179"/>
      <c r="G140" s="179"/>
      <c r="H140" s="179"/>
      <c r="I140" s="179"/>
      <c r="J140" s="201"/>
      <c r="K140" s="199"/>
      <c r="L140" s="182"/>
      <c r="M140" s="183"/>
      <c r="N140" s="119"/>
    </row>
    <row r="141">
      <c r="A141" s="119"/>
      <c r="B141" s="202"/>
      <c r="C141" s="196"/>
      <c r="D141" s="197"/>
      <c r="E141" s="179"/>
      <c r="F141" s="179"/>
      <c r="G141" s="179"/>
      <c r="H141" s="179"/>
      <c r="I141" s="179"/>
      <c r="J141" s="201"/>
      <c r="K141" s="199"/>
      <c r="L141" s="182"/>
      <c r="M141" s="183"/>
      <c r="N141" s="119"/>
    </row>
    <row r="142">
      <c r="A142" s="119"/>
      <c r="B142" s="202"/>
      <c r="C142" s="196"/>
      <c r="D142" s="197"/>
      <c r="E142" s="179"/>
      <c r="F142" s="179"/>
      <c r="G142" s="179"/>
      <c r="H142" s="179"/>
      <c r="I142" s="179"/>
      <c r="J142" s="201"/>
      <c r="K142" s="199"/>
      <c r="L142" s="182"/>
      <c r="M142" s="183"/>
      <c r="N142" s="119"/>
    </row>
    <row r="143">
      <c r="A143" s="119"/>
      <c r="B143" s="202"/>
      <c r="C143" s="196"/>
      <c r="D143" s="197"/>
      <c r="E143" s="179"/>
      <c r="F143" s="179"/>
      <c r="G143" s="179"/>
      <c r="H143" s="179"/>
      <c r="I143" s="179"/>
      <c r="J143" s="201"/>
      <c r="K143" s="199"/>
      <c r="L143" s="182"/>
      <c r="M143" s="183"/>
      <c r="N143" s="119"/>
    </row>
    <row r="144">
      <c r="A144" s="119"/>
      <c r="B144" s="202"/>
      <c r="C144" s="196"/>
      <c r="D144" s="197"/>
      <c r="E144" s="179"/>
      <c r="F144" s="179"/>
      <c r="G144" s="179"/>
      <c r="H144" s="179"/>
      <c r="I144" s="179"/>
      <c r="J144" s="201"/>
      <c r="K144" s="199"/>
      <c r="L144" s="182"/>
      <c r="M144" s="183"/>
      <c r="N144" s="119"/>
    </row>
    <row r="145">
      <c r="A145" s="119"/>
      <c r="B145" s="202"/>
      <c r="C145" s="196"/>
      <c r="D145" s="197"/>
      <c r="E145" s="179"/>
      <c r="F145" s="179"/>
      <c r="G145" s="179"/>
      <c r="H145" s="179"/>
      <c r="I145" s="179"/>
      <c r="J145" s="201"/>
      <c r="K145" s="199"/>
      <c r="L145" s="182"/>
      <c r="M145" s="183"/>
      <c r="N145" s="119"/>
    </row>
    <row r="146">
      <c r="A146" s="119"/>
      <c r="B146" s="202"/>
      <c r="C146" s="196"/>
      <c r="D146" s="197"/>
      <c r="E146" s="179"/>
      <c r="F146" s="179"/>
      <c r="G146" s="179"/>
      <c r="H146" s="179"/>
      <c r="I146" s="179"/>
      <c r="J146" s="201"/>
      <c r="K146" s="199"/>
      <c r="L146" s="182"/>
      <c r="M146" s="183"/>
      <c r="N146" s="119"/>
    </row>
    <row r="147">
      <c r="A147" s="119"/>
      <c r="B147" s="202"/>
      <c r="C147" s="196"/>
      <c r="D147" s="197"/>
      <c r="E147" s="179"/>
      <c r="F147" s="179"/>
      <c r="G147" s="179"/>
      <c r="H147" s="179"/>
      <c r="I147" s="179"/>
      <c r="J147" s="201"/>
      <c r="K147" s="199"/>
      <c r="L147" s="182"/>
      <c r="M147" s="183"/>
      <c r="N147" s="119"/>
    </row>
    <row r="148">
      <c r="A148" s="119"/>
      <c r="B148" s="202"/>
      <c r="C148" s="196"/>
      <c r="D148" s="197"/>
      <c r="E148" s="179"/>
      <c r="F148" s="179"/>
      <c r="G148" s="179"/>
      <c r="H148" s="179"/>
      <c r="I148" s="179"/>
      <c r="J148" s="201"/>
      <c r="K148" s="199"/>
      <c r="L148" s="182"/>
      <c r="M148" s="183"/>
      <c r="N148" s="119"/>
    </row>
    <row r="149">
      <c r="A149" s="119"/>
      <c r="B149" s="202"/>
      <c r="C149" s="196"/>
      <c r="D149" s="197"/>
      <c r="E149" s="179"/>
      <c r="F149" s="179"/>
      <c r="G149" s="179"/>
      <c r="H149" s="179"/>
      <c r="I149" s="179"/>
      <c r="J149" s="201"/>
      <c r="K149" s="199"/>
      <c r="L149" s="182"/>
      <c r="M149" s="183"/>
      <c r="N149" s="119"/>
    </row>
    <row r="150">
      <c r="A150" s="119"/>
      <c r="B150" s="202"/>
      <c r="C150" s="196"/>
      <c r="D150" s="197"/>
      <c r="E150" s="179"/>
      <c r="F150" s="179"/>
      <c r="G150" s="179"/>
      <c r="H150" s="179"/>
      <c r="I150" s="179"/>
      <c r="J150" s="201"/>
      <c r="K150" s="199"/>
      <c r="L150" s="182"/>
      <c r="M150" s="183"/>
      <c r="N150" s="119"/>
    </row>
    <row r="151">
      <c r="A151" s="119"/>
      <c r="B151" s="202"/>
      <c r="C151" s="196"/>
      <c r="D151" s="197"/>
      <c r="E151" s="179"/>
      <c r="F151" s="179"/>
      <c r="G151" s="179"/>
      <c r="H151" s="179"/>
      <c r="I151" s="179"/>
      <c r="J151" s="201"/>
      <c r="K151" s="199"/>
      <c r="L151" s="182"/>
      <c r="M151" s="183"/>
      <c r="N151" s="119"/>
    </row>
    <row r="152">
      <c r="A152" s="119"/>
      <c r="B152" s="202"/>
      <c r="C152" s="196"/>
      <c r="D152" s="197"/>
      <c r="E152" s="179"/>
      <c r="F152" s="179"/>
      <c r="G152" s="179"/>
      <c r="H152" s="179"/>
      <c r="I152" s="179"/>
      <c r="J152" s="201"/>
      <c r="K152" s="199"/>
      <c r="L152" s="182"/>
      <c r="M152" s="183"/>
      <c r="N152" s="119"/>
    </row>
    <row r="153">
      <c r="A153" s="119"/>
      <c r="B153" s="202"/>
      <c r="C153" s="196"/>
      <c r="D153" s="197"/>
      <c r="E153" s="179"/>
      <c r="F153" s="179"/>
      <c r="G153" s="179"/>
      <c r="H153" s="179"/>
      <c r="I153" s="179"/>
      <c r="J153" s="201"/>
      <c r="K153" s="199"/>
      <c r="L153" s="182"/>
      <c r="M153" s="183"/>
      <c r="N153" s="119"/>
    </row>
    <row r="154">
      <c r="A154" s="119"/>
      <c r="B154" s="202"/>
      <c r="C154" s="196"/>
      <c r="D154" s="197"/>
      <c r="E154" s="179"/>
      <c r="F154" s="179"/>
      <c r="G154" s="179"/>
      <c r="H154" s="179"/>
      <c r="I154" s="179"/>
      <c r="J154" s="201"/>
      <c r="K154" s="199"/>
      <c r="L154" s="182"/>
      <c r="M154" s="183"/>
      <c r="N154" s="119"/>
    </row>
    <row r="155">
      <c r="A155" s="119"/>
      <c r="B155" s="202"/>
      <c r="C155" s="196"/>
      <c r="D155" s="197"/>
      <c r="E155" s="179"/>
      <c r="F155" s="179"/>
      <c r="G155" s="179"/>
      <c r="H155" s="179"/>
      <c r="I155" s="179"/>
      <c r="J155" s="201"/>
      <c r="K155" s="199"/>
      <c r="L155" s="182"/>
      <c r="M155" s="183"/>
      <c r="N155" s="119"/>
    </row>
    <row r="156">
      <c r="A156" s="119"/>
      <c r="B156" s="202"/>
      <c r="C156" s="196"/>
      <c r="D156" s="197"/>
      <c r="E156" s="179"/>
      <c r="F156" s="179"/>
      <c r="G156" s="179"/>
      <c r="H156" s="179"/>
      <c r="I156" s="179"/>
      <c r="J156" s="201"/>
      <c r="K156" s="199"/>
      <c r="L156" s="182"/>
      <c r="M156" s="183"/>
      <c r="N156" s="119"/>
    </row>
    <row r="157">
      <c r="A157" s="119"/>
      <c r="B157" s="202"/>
      <c r="C157" s="196"/>
      <c r="D157" s="197"/>
      <c r="E157" s="179"/>
      <c r="F157" s="179"/>
      <c r="G157" s="179"/>
      <c r="H157" s="179"/>
      <c r="I157" s="179"/>
      <c r="J157" s="201"/>
      <c r="K157" s="199"/>
      <c r="L157" s="182"/>
      <c r="M157" s="183"/>
      <c r="N157" s="119"/>
    </row>
    <row r="158">
      <c r="A158" s="119"/>
      <c r="B158" s="202"/>
      <c r="C158" s="196"/>
      <c r="D158" s="197"/>
      <c r="E158" s="179"/>
      <c r="F158" s="179"/>
      <c r="G158" s="179"/>
      <c r="H158" s="179"/>
      <c r="I158" s="179"/>
      <c r="J158" s="201"/>
      <c r="K158" s="199"/>
      <c r="L158" s="182"/>
      <c r="M158" s="183"/>
      <c r="N158" s="119"/>
    </row>
    <row r="159">
      <c r="A159" s="119"/>
      <c r="B159" s="202"/>
      <c r="C159" s="196"/>
      <c r="D159" s="197"/>
      <c r="E159" s="179"/>
      <c r="F159" s="179"/>
      <c r="G159" s="179"/>
      <c r="H159" s="179"/>
      <c r="I159" s="179"/>
      <c r="J159" s="201"/>
      <c r="K159" s="199"/>
      <c r="L159" s="182"/>
      <c r="M159" s="183"/>
      <c r="N159" s="119"/>
    </row>
    <row r="160">
      <c r="A160" s="119"/>
      <c r="B160" s="202"/>
      <c r="C160" s="196"/>
      <c r="D160" s="197"/>
      <c r="E160" s="179"/>
      <c r="F160" s="179"/>
      <c r="G160" s="179"/>
      <c r="H160" s="179"/>
      <c r="I160" s="179"/>
      <c r="J160" s="201"/>
      <c r="K160" s="199"/>
      <c r="L160" s="182"/>
      <c r="M160" s="183"/>
      <c r="N160" s="119"/>
    </row>
    <row r="161">
      <c r="A161" s="119"/>
      <c r="B161" s="202"/>
      <c r="C161" s="196"/>
      <c r="D161" s="197"/>
      <c r="E161" s="179"/>
      <c r="F161" s="179"/>
      <c r="G161" s="179"/>
      <c r="H161" s="179"/>
      <c r="I161" s="179"/>
      <c r="J161" s="201"/>
      <c r="K161" s="199"/>
      <c r="L161" s="182"/>
      <c r="M161" s="183"/>
      <c r="N161" s="119"/>
    </row>
    <row r="162">
      <c r="A162" s="119"/>
      <c r="B162" s="202"/>
      <c r="C162" s="196"/>
      <c r="D162" s="197"/>
      <c r="E162" s="179"/>
      <c r="F162" s="179"/>
      <c r="G162" s="179"/>
      <c r="H162" s="179"/>
      <c r="I162" s="179"/>
      <c r="J162" s="201"/>
      <c r="K162" s="199"/>
      <c r="L162" s="182"/>
      <c r="M162" s="183"/>
      <c r="N162" s="119"/>
    </row>
    <row r="163">
      <c r="A163" s="119"/>
      <c r="B163" s="202"/>
      <c r="C163" s="196"/>
      <c r="D163" s="197"/>
      <c r="E163" s="179"/>
      <c r="F163" s="179"/>
      <c r="G163" s="179"/>
      <c r="H163" s="179"/>
      <c r="I163" s="179"/>
      <c r="J163" s="201"/>
      <c r="K163" s="199"/>
      <c r="L163" s="182"/>
      <c r="M163" s="183"/>
      <c r="N163" s="119"/>
    </row>
    <row r="164">
      <c r="A164" s="119"/>
      <c r="B164" s="202"/>
      <c r="C164" s="196"/>
      <c r="D164" s="197"/>
      <c r="E164" s="179"/>
      <c r="F164" s="179"/>
      <c r="G164" s="179"/>
      <c r="H164" s="179"/>
      <c r="I164" s="179"/>
      <c r="J164" s="201"/>
      <c r="K164" s="199"/>
      <c r="L164" s="182"/>
      <c r="M164" s="183"/>
      <c r="N164" s="119"/>
    </row>
    <row r="165">
      <c r="A165" s="119"/>
      <c r="B165" s="202"/>
      <c r="C165" s="196"/>
      <c r="D165" s="197"/>
      <c r="E165" s="179"/>
      <c r="F165" s="179"/>
      <c r="G165" s="179"/>
      <c r="H165" s="179"/>
      <c r="I165" s="179"/>
      <c r="J165" s="201"/>
      <c r="K165" s="199"/>
      <c r="L165" s="182"/>
      <c r="M165" s="183"/>
      <c r="N165" s="119"/>
    </row>
    <row r="166">
      <c r="A166" s="119"/>
      <c r="B166" s="202"/>
      <c r="C166" s="196"/>
      <c r="D166" s="197"/>
      <c r="E166" s="179"/>
      <c r="F166" s="179"/>
      <c r="G166" s="179"/>
      <c r="H166" s="179"/>
      <c r="I166" s="179"/>
      <c r="J166" s="201"/>
      <c r="K166" s="199"/>
      <c r="L166" s="182"/>
      <c r="M166" s="183"/>
      <c r="N166" s="119"/>
    </row>
    <row r="167">
      <c r="A167" s="119"/>
      <c r="B167" s="202"/>
      <c r="C167" s="196"/>
      <c r="D167" s="197"/>
      <c r="E167" s="179"/>
      <c r="F167" s="179"/>
      <c r="G167" s="179"/>
      <c r="H167" s="179"/>
      <c r="I167" s="179"/>
      <c r="J167" s="201"/>
      <c r="K167" s="199"/>
      <c r="L167" s="182"/>
      <c r="M167" s="183"/>
      <c r="N167" s="119"/>
    </row>
    <row r="168">
      <c r="A168" s="119"/>
      <c r="B168" s="202"/>
      <c r="C168" s="196"/>
      <c r="D168" s="197"/>
      <c r="E168" s="179"/>
      <c r="F168" s="179"/>
      <c r="G168" s="179"/>
      <c r="H168" s="179"/>
      <c r="I168" s="179"/>
      <c r="J168" s="201"/>
      <c r="K168" s="199"/>
      <c r="L168" s="182"/>
      <c r="M168" s="183"/>
      <c r="N168" s="119"/>
    </row>
    <row r="169">
      <c r="A169" s="119"/>
      <c r="B169" s="202"/>
      <c r="C169" s="196"/>
      <c r="D169" s="197"/>
      <c r="E169" s="179"/>
      <c r="F169" s="179"/>
      <c r="G169" s="179"/>
      <c r="H169" s="179"/>
      <c r="I169" s="179"/>
      <c r="J169" s="201"/>
      <c r="K169" s="199"/>
      <c r="L169" s="182"/>
      <c r="M169" s="183"/>
      <c r="N169" s="119"/>
    </row>
    <row r="170">
      <c r="A170" s="119"/>
      <c r="B170" s="202"/>
      <c r="C170" s="196"/>
      <c r="D170" s="197"/>
      <c r="E170" s="179"/>
      <c r="F170" s="179"/>
      <c r="G170" s="179"/>
      <c r="H170" s="179"/>
      <c r="I170" s="179"/>
      <c r="J170" s="201"/>
      <c r="K170" s="199"/>
      <c r="L170" s="182"/>
      <c r="M170" s="183"/>
      <c r="N170" s="119"/>
    </row>
    <row r="171">
      <c r="A171" s="119"/>
      <c r="B171" s="202"/>
      <c r="C171" s="196"/>
      <c r="D171" s="197"/>
      <c r="E171" s="179"/>
      <c r="F171" s="179"/>
      <c r="G171" s="179"/>
      <c r="H171" s="179"/>
      <c r="I171" s="179"/>
      <c r="J171" s="201"/>
      <c r="K171" s="199"/>
      <c r="L171" s="182"/>
      <c r="M171" s="183"/>
      <c r="N171" s="119"/>
    </row>
    <row r="172">
      <c r="A172" s="119"/>
      <c r="B172" s="202"/>
      <c r="C172" s="196"/>
      <c r="D172" s="197"/>
      <c r="E172" s="179"/>
      <c r="F172" s="179"/>
      <c r="G172" s="179"/>
      <c r="H172" s="179"/>
      <c r="I172" s="179"/>
      <c r="J172" s="201"/>
      <c r="K172" s="199"/>
      <c r="L172" s="182"/>
      <c r="M172" s="183"/>
      <c r="N172" s="119"/>
    </row>
    <row r="173">
      <c r="A173" s="119"/>
      <c r="B173" s="202"/>
      <c r="C173" s="196"/>
      <c r="D173" s="197"/>
      <c r="E173" s="179"/>
      <c r="F173" s="179"/>
      <c r="G173" s="179"/>
      <c r="H173" s="179"/>
      <c r="I173" s="179"/>
      <c r="J173" s="201"/>
      <c r="K173" s="199"/>
      <c r="L173" s="182"/>
      <c r="M173" s="183"/>
      <c r="N173" s="119"/>
    </row>
    <row r="174">
      <c r="A174" s="119"/>
      <c r="B174" s="202"/>
      <c r="C174" s="196"/>
      <c r="D174" s="197"/>
      <c r="E174" s="179"/>
      <c r="F174" s="179"/>
      <c r="G174" s="179"/>
      <c r="H174" s="179"/>
      <c r="I174" s="179"/>
      <c r="J174" s="201"/>
      <c r="K174" s="199"/>
      <c r="L174" s="182"/>
      <c r="M174" s="183"/>
      <c r="N174" s="119"/>
    </row>
    <row r="175">
      <c r="A175" s="119"/>
      <c r="B175" s="202"/>
      <c r="C175" s="196"/>
      <c r="D175" s="197"/>
      <c r="E175" s="179"/>
      <c r="F175" s="179"/>
      <c r="G175" s="179"/>
      <c r="H175" s="179"/>
      <c r="I175" s="179"/>
      <c r="J175" s="201"/>
      <c r="K175" s="199"/>
      <c r="L175" s="182"/>
      <c r="M175" s="183"/>
      <c r="N175" s="119"/>
    </row>
    <row r="176">
      <c r="A176" s="119"/>
      <c r="B176" s="202"/>
      <c r="C176" s="196"/>
      <c r="D176" s="197"/>
      <c r="E176" s="179"/>
      <c r="F176" s="179"/>
      <c r="G176" s="179"/>
      <c r="H176" s="179"/>
      <c r="I176" s="179"/>
      <c r="J176" s="201"/>
      <c r="K176" s="199"/>
      <c r="L176" s="182"/>
      <c r="M176" s="183"/>
      <c r="N176" s="119"/>
    </row>
    <row r="177">
      <c r="A177" s="119"/>
      <c r="B177" s="202"/>
      <c r="C177" s="196"/>
      <c r="D177" s="197"/>
      <c r="E177" s="179"/>
      <c r="F177" s="179"/>
      <c r="G177" s="179"/>
      <c r="H177" s="179"/>
      <c r="I177" s="179"/>
      <c r="J177" s="201"/>
      <c r="K177" s="199"/>
      <c r="L177" s="182"/>
      <c r="M177" s="183"/>
      <c r="N177" s="119"/>
    </row>
    <row r="178">
      <c r="A178" s="119"/>
      <c r="B178" s="202"/>
      <c r="C178" s="196"/>
      <c r="D178" s="197"/>
      <c r="E178" s="179"/>
      <c r="F178" s="179"/>
      <c r="G178" s="179"/>
      <c r="H178" s="179"/>
      <c r="I178" s="179"/>
      <c r="J178" s="201"/>
      <c r="K178" s="199"/>
      <c r="L178" s="182"/>
      <c r="M178" s="183"/>
      <c r="N178" s="119"/>
    </row>
    <row r="179">
      <c r="A179" s="119"/>
      <c r="B179" s="202"/>
      <c r="C179" s="196"/>
      <c r="D179" s="197"/>
      <c r="E179" s="179"/>
      <c r="F179" s="179"/>
      <c r="G179" s="179"/>
      <c r="H179" s="179"/>
      <c r="I179" s="179"/>
      <c r="J179" s="201"/>
      <c r="K179" s="199"/>
      <c r="L179" s="182"/>
      <c r="M179" s="183"/>
      <c r="N179" s="119"/>
    </row>
    <row r="180">
      <c r="A180" s="119"/>
      <c r="B180" s="202"/>
      <c r="C180" s="196"/>
      <c r="D180" s="197"/>
      <c r="E180" s="179"/>
      <c r="F180" s="179"/>
      <c r="G180" s="179"/>
      <c r="H180" s="179"/>
      <c r="I180" s="179"/>
      <c r="J180" s="201"/>
      <c r="K180" s="199"/>
      <c r="L180" s="182"/>
      <c r="M180" s="183"/>
      <c r="N180" s="119"/>
    </row>
    <row r="181">
      <c r="A181" s="119"/>
      <c r="B181" s="202"/>
      <c r="C181" s="196"/>
      <c r="D181" s="197"/>
      <c r="E181" s="179"/>
      <c r="F181" s="179"/>
      <c r="G181" s="179"/>
      <c r="H181" s="179"/>
      <c r="I181" s="179"/>
      <c r="J181" s="201"/>
      <c r="K181" s="199"/>
      <c r="L181" s="182"/>
      <c r="M181" s="183"/>
      <c r="N181" s="119"/>
    </row>
    <row r="182">
      <c r="A182" s="119"/>
      <c r="B182" s="202"/>
      <c r="C182" s="196"/>
      <c r="D182" s="197"/>
      <c r="E182" s="179"/>
      <c r="F182" s="179"/>
      <c r="G182" s="179"/>
      <c r="H182" s="179"/>
      <c r="I182" s="179"/>
      <c r="J182" s="201"/>
      <c r="K182" s="199"/>
      <c r="L182" s="182"/>
      <c r="M182" s="183"/>
      <c r="N182" s="119"/>
    </row>
    <row r="183">
      <c r="A183" s="119"/>
      <c r="B183" s="202"/>
      <c r="C183" s="196"/>
      <c r="D183" s="197"/>
      <c r="E183" s="179"/>
      <c r="F183" s="179"/>
      <c r="G183" s="179"/>
      <c r="H183" s="179"/>
      <c r="I183" s="179"/>
      <c r="J183" s="201"/>
      <c r="K183" s="199"/>
      <c r="L183" s="182"/>
      <c r="M183" s="183"/>
      <c r="N183" s="119"/>
    </row>
    <row r="184">
      <c r="A184" s="119"/>
      <c r="B184" s="202"/>
      <c r="C184" s="196"/>
      <c r="D184" s="197"/>
      <c r="E184" s="179"/>
      <c r="F184" s="179"/>
      <c r="G184" s="179"/>
      <c r="H184" s="179"/>
      <c r="I184" s="179"/>
      <c r="J184" s="201"/>
      <c r="K184" s="199"/>
      <c r="L184" s="182"/>
      <c r="M184" s="183"/>
      <c r="N184" s="119"/>
    </row>
    <row r="185">
      <c r="A185" s="119"/>
      <c r="B185" s="202"/>
      <c r="C185" s="196"/>
      <c r="D185" s="197"/>
      <c r="E185" s="179"/>
      <c r="F185" s="179"/>
      <c r="G185" s="179"/>
      <c r="H185" s="179"/>
      <c r="I185" s="179"/>
      <c r="J185" s="201"/>
      <c r="K185" s="199"/>
      <c r="L185" s="182"/>
      <c r="M185" s="183"/>
      <c r="N185" s="119"/>
    </row>
    <row r="186">
      <c r="A186" s="119"/>
      <c r="B186" s="202"/>
      <c r="C186" s="196"/>
      <c r="D186" s="197"/>
      <c r="E186" s="179"/>
      <c r="F186" s="179"/>
      <c r="G186" s="179"/>
      <c r="H186" s="179"/>
      <c r="I186" s="179"/>
      <c r="J186" s="201"/>
      <c r="K186" s="199"/>
      <c r="L186" s="182"/>
      <c r="M186" s="183"/>
      <c r="N186" s="119"/>
    </row>
    <row r="187">
      <c r="A187" s="119"/>
      <c r="B187" s="202"/>
      <c r="C187" s="196"/>
      <c r="D187" s="197"/>
      <c r="E187" s="179"/>
      <c r="F187" s="179"/>
      <c r="G187" s="179"/>
      <c r="H187" s="179"/>
      <c r="I187" s="179"/>
      <c r="J187" s="201"/>
      <c r="K187" s="199"/>
      <c r="L187" s="182"/>
      <c r="M187" s="183"/>
      <c r="N187" s="119"/>
    </row>
    <row r="188">
      <c r="A188" s="119"/>
      <c r="B188" s="202"/>
      <c r="C188" s="196"/>
      <c r="D188" s="197"/>
      <c r="E188" s="179"/>
      <c r="F188" s="179"/>
      <c r="G188" s="179"/>
      <c r="H188" s="179"/>
      <c r="I188" s="179"/>
      <c r="J188" s="201"/>
      <c r="K188" s="199"/>
      <c r="L188" s="182"/>
      <c r="M188" s="183"/>
      <c r="N188" s="119"/>
    </row>
    <row r="189">
      <c r="A189" s="119"/>
      <c r="B189" s="202"/>
      <c r="C189" s="196"/>
      <c r="D189" s="197"/>
      <c r="E189" s="179"/>
      <c r="F189" s="179"/>
      <c r="G189" s="179"/>
      <c r="H189" s="179"/>
      <c r="I189" s="179"/>
      <c r="J189" s="201"/>
      <c r="K189" s="199"/>
      <c r="L189" s="182"/>
      <c r="M189" s="183"/>
      <c r="N189" s="119"/>
    </row>
    <row r="190">
      <c r="A190" s="119"/>
      <c r="B190" s="202"/>
      <c r="C190" s="196"/>
      <c r="D190" s="197"/>
      <c r="E190" s="179"/>
      <c r="F190" s="179"/>
      <c r="G190" s="179"/>
      <c r="H190" s="179"/>
      <c r="I190" s="179"/>
      <c r="J190" s="201"/>
      <c r="K190" s="199"/>
      <c r="L190" s="182"/>
      <c r="M190" s="183"/>
      <c r="N190" s="119"/>
    </row>
    <row r="191">
      <c r="A191" s="119"/>
      <c r="B191" s="202"/>
      <c r="C191" s="196"/>
      <c r="D191" s="197"/>
      <c r="E191" s="179"/>
      <c r="F191" s="179"/>
      <c r="G191" s="179"/>
      <c r="H191" s="179"/>
      <c r="I191" s="179"/>
      <c r="J191" s="201"/>
      <c r="K191" s="199"/>
      <c r="L191" s="182"/>
      <c r="M191" s="183"/>
      <c r="N191" s="119"/>
    </row>
    <row r="192">
      <c r="A192" s="119"/>
      <c r="B192" s="202"/>
      <c r="C192" s="196"/>
      <c r="D192" s="197"/>
      <c r="E192" s="179"/>
      <c r="F192" s="179"/>
      <c r="G192" s="179"/>
      <c r="H192" s="179"/>
      <c r="I192" s="179"/>
      <c r="J192" s="201"/>
      <c r="K192" s="199"/>
      <c r="L192" s="182"/>
      <c r="M192" s="183"/>
      <c r="N192" s="119"/>
    </row>
    <row r="193">
      <c r="A193" s="119"/>
      <c r="B193" s="202"/>
      <c r="C193" s="196"/>
      <c r="D193" s="197"/>
      <c r="E193" s="179"/>
      <c r="F193" s="179"/>
      <c r="G193" s="179"/>
      <c r="H193" s="179"/>
      <c r="I193" s="179"/>
      <c r="J193" s="201"/>
      <c r="K193" s="199"/>
      <c r="L193" s="182"/>
      <c r="M193" s="183"/>
      <c r="N193" s="119"/>
    </row>
    <row r="194">
      <c r="A194" s="119"/>
      <c r="B194" s="202"/>
      <c r="C194" s="196"/>
      <c r="D194" s="197"/>
      <c r="E194" s="179"/>
      <c r="F194" s="179"/>
      <c r="G194" s="179"/>
      <c r="H194" s="179"/>
      <c r="I194" s="179"/>
      <c r="J194" s="201"/>
      <c r="K194" s="199"/>
      <c r="L194" s="182"/>
      <c r="M194" s="183"/>
      <c r="N194" s="119"/>
    </row>
    <row r="195">
      <c r="A195" s="119"/>
      <c r="B195" s="202"/>
      <c r="C195" s="196"/>
      <c r="D195" s="197"/>
      <c r="E195" s="179"/>
      <c r="F195" s="179"/>
      <c r="G195" s="179"/>
      <c r="H195" s="179"/>
      <c r="I195" s="179"/>
      <c r="J195" s="201"/>
      <c r="K195" s="199"/>
      <c r="L195" s="182"/>
      <c r="M195" s="183"/>
      <c r="N195" s="119"/>
    </row>
    <row r="196">
      <c r="A196" s="119"/>
      <c r="B196" s="202"/>
      <c r="C196" s="196"/>
      <c r="D196" s="197"/>
      <c r="E196" s="179"/>
      <c r="F196" s="179"/>
      <c r="G196" s="179"/>
      <c r="H196" s="179"/>
      <c r="I196" s="179"/>
      <c r="J196" s="201"/>
      <c r="K196" s="199"/>
      <c r="L196" s="182"/>
      <c r="M196" s="183"/>
      <c r="N196" s="119"/>
    </row>
    <row r="197">
      <c r="A197" s="119"/>
      <c r="B197" s="202"/>
      <c r="C197" s="196"/>
      <c r="D197" s="197"/>
      <c r="E197" s="179"/>
      <c r="F197" s="179"/>
      <c r="G197" s="179"/>
      <c r="H197" s="179"/>
      <c r="I197" s="179"/>
      <c r="J197" s="201"/>
      <c r="K197" s="199"/>
      <c r="L197" s="182"/>
      <c r="M197" s="183"/>
      <c r="N197" s="119"/>
    </row>
    <row r="198">
      <c r="A198" s="119"/>
      <c r="B198" s="202"/>
      <c r="C198" s="196"/>
      <c r="D198" s="197"/>
      <c r="E198" s="179"/>
      <c r="F198" s="179"/>
      <c r="G198" s="179"/>
      <c r="H198" s="179"/>
      <c r="I198" s="179"/>
      <c r="J198" s="201"/>
      <c r="K198" s="199"/>
      <c r="L198" s="182"/>
      <c r="M198" s="183"/>
      <c r="N198" s="119"/>
    </row>
    <row r="199">
      <c r="A199" s="119"/>
      <c r="B199" s="202"/>
      <c r="C199" s="196"/>
      <c r="D199" s="197"/>
      <c r="E199" s="179"/>
      <c r="F199" s="179"/>
      <c r="G199" s="179"/>
      <c r="H199" s="179"/>
      <c r="I199" s="179"/>
      <c r="J199" s="201"/>
      <c r="K199" s="199"/>
      <c r="L199" s="182"/>
      <c r="M199" s="183"/>
      <c r="N199" s="119"/>
    </row>
    <row r="200">
      <c r="A200" s="119"/>
      <c r="B200" s="202"/>
      <c r="C200" s="196"/>
      <c r="D200" s="197"/>
      <c r="E200" s="179"/>
      <c r="F200" s="179"/>
      <c r="G200" s="179"/>
      <c r="H200" s="179"/>
      <c r="I200" s="179"/>
      <c r="J200" s="201"/>
      <c r="K200" s="199"/>
      <c r="L200" s="182"/>
      <c r="M200" s="183"/>
      <c r="N200" s="119"/>
    </row>
    <row r="201">
      <c r="A201" s="119"/>
      <c r="B201" s="202"/>
      <c r="C201" s="196"/>
      <c r="D201" s="197"/>
      <c r="E201" s="179"/>
      <c r="F201" s="179"/>
      <c r="G201" s="179"/>
      <c r="H201" s="179"/>
      <c r="I201" s="179"/>
      <c r="J201" s="201"/>
      <c r="K201" s="199"/>
      <c r="L201" s="182"/>
      <c r="M201" s="183"/>
      <c r="N201" s="119"/>
    </row>
    <row r="202">
      <c r="A202" s="119"/>
      <c r="B202" s="202"/>
      <c r="C202" s="196"/>
      <c r="D202" s="197"/>
      <c r="E202" s="179"/>
      <c r="F202" s="179"/>
      <c r="G202" s="179"/>
      <c r="H202" s="179"/>
      <c r="I202" s="179"/>
      <c r="J202" s="201"/>
      <c r="K202" s="199"/>
      <c r="L202" s="182"/>
      <c r="M202" s="183"/>
      <c r="N202" s="119"/>
    </row>
    <row r="203">
      <c r="A203" s="119"/>
      <c r="B203" s="202"/>
      <c r="C203" s="196"/>
      <c r="D203" s="197"/>
      <c r="E203" s="179"/>
      <c r="F203" s="179"/>
      <c r="G203" s="179"/>
      <c r="H203" s="179"/>
      <c r="I203" s="179"/>
      <c r="J203" s="201"/>
      <c r="K203" s="199"/>
      <c r="L203" s="182"/>
      <c r="M203" s="183"/>
      <c r="N203" s="119"/>
    </row>
    <row r="204">
      <c r="A204" s="119"/>
      <c r="B204" s="202"/>
      <c r="C204" s="196"/>
      <c r="D204" s="197"/>
      <c r="E204" s="179"/>
      <c r="F204" s="179"/>
      <c r="G204" s="179"/>
      <c r="H204" s="179"/>
      <c r="I204" s="179"/>
      <c r="J204" s="201"/>
      <c r="K204" s="199"/>
      <c r="L204" s="182"/>
      <c r="M204" s="183"/>
      <c r="N204" s="119"/>
    </row>
    <row r="205">
      <c r="A205" s="119"/>
      <c r="B205" s="202"/>
      <c r="C205" s="196"/>
      <c r="D205" s="197"/>
      <c r="E205" s="179"/>
      <c r="F205" s="179"/>
      <c r="G205" s="179"/>
      <c r="H205" s="179"/>
      <c r="I205" s="179"/>
      <c r="J205" s="201"/>
      <c r="K205" s="199"/>
      <c r="L205" s="182"/>
      <c r="M205" s="183"/>
      <c r="N205" s="119"/>
    </row>
    <row r="206">
      <c r="A206" s="119"/>
      <c r="B206" s="202"/>
      <c r="C206" s="196"/>
      <c r="D206" s="197"/>
      <c r="E206" s="179"/>
      <c r="F206" s="179"/>
      <c r="G206" s="179"/>
      <c r="H206" s="179"/>
      <c r="I206" s="179"/>
      <c r="J206" s="201"/>
      <c r="K206" s="199"/>
      <c r="L206" s="182"/>
      <c r="M206" s="183"/>
      <c r="N206" s="119"/>
    </row>
    <row r="207">
      <c r="A207" s="119"/>
      <c r="B207" s="202"/>
      <c r="C207" s="196"/>
      <c r="D207" s="197"/>
      <c r="E207" s="179"/>
      <c r="F207" s="179"/>
      <c r="G207" s="179"/>
      <c r="H207" s="179"/>
      <c r="I207" s="179"/>
      <c r="J207" s="201"/>
      <c r="K207" s="199"/>
      <c r="L207" s="182"/>
      <c r="M207" s="183"/>
      <c r="N207" s="119"/>
    </row>
    <row r="208">
      <c r="A208" s="119"/>
      <c r="B208" s="202"/>
      <c r="C208" s="196"/>
      <c r="D208" s="197"/>
      <c r="E208" s="179"/>
      <c r="F208" s="179"/>
      <c r="G208" s="179"/>
      <c r="H208" s="179"/>
      <c r="I208" s="179"/>
      <c r="J208" s="201"/>
      <c r="K208" s="199"/>
      <c r="L208" s="182"/>
      <c r="M208" s="183"/>
      <c r="N208" s="119"/>
    </row>
    <row r="209">
      <c r="A209" s="119"/>
      <c r="B209" s="202"/>
      <c r="C209" s="196"/>
      <c r="D209" s="197"/>
      <c r="E209" s="179"/>
      <c r="F209" s="179"/>
      <c r="G209" s="179"/>
      <c r="H209" s="179"/>
      <c r="I209" s="179"/>
      <c r="J209" s="201"/>
      <c r="K209" s="199"/>
      <c r="L209" s="182"/>
      <c r="M209" s="183"/>
      <c r="N209" s="119"/>
    </row>
    <row r="210">
      <c r="A210" s="119"/>
      <c r="B210" s="202"/>
      <c r="C210" s="196"/>
      <c r="D210" s="197"/>
      <c r="E210" s="179"/>
      <c r="F210" s="179"/>
      <c r="G210" s="179"/>
      <c r="H210" s="179"/>
      <c r="I210" s="179"/>
      <c r="J210" s="201"/>
      <c r="K210" s="199"/>
      <c r="L210" s="182"/>
      <c r="M210" s="183"/>
      <c r="N210" s="119"/>
    </row>
    <row r="211">
      <c r="A211" s="119"/>
      <c r="B211" s="202"/>
      <c r="C211" s="196"/>
      <c r="D211" s="197"/>
      <c r="E211" s="179"/>
      <c r="F211" s="179"/>
      <c r="G211" s="179"/>
      <c r="H211" s="179"/>
      <c r="I211" s="179"/>
      <c r="J211" s="201"/>
      <c r="K211" s="199"/>
      <c r="L211" s="182"/>
      <c r="M211" s="183"/>
      <c r="N211" s="119"/>
    </row>
    <row r="212">
      <c r="A212" s="119"/>
      <c r="B212" s="202"/>
      <c r="C212" s="196"/>
      <c r="D212" s="197"/>
      <c r="E212" s="179"/>
      <c r="F212" s="179"/>
      <c r="G212" s="179"/>
      <c r="H212" s="179"/>
      <c r="I212" s="179"/>
      <c r="J212" s="201"/>
      <c r="K212" s="199"/>
      <c r="L212" s="182"/>
      <c r="M212" s="183"/>
      <c r="N212" s="119"/>
    </row>
    <row r="213">
      <c r="A213" s="119"/>
      <c r="B213" s="202"/>
      <c r="C213" s="196"/>
      <c r="D213" s="197"/>
      <c r="E213" s="179"/>
      <c r="F213" s="179"/>
      <c r="G213" s="179"/>
      <c r="H213" s="179"/>
      <c r="I213" s="179"/>
      <c r="J213" s="201"/>
      <c r="K213" s="199"/>
      <c r="L213" s="182"/>
      <c r="M213" s="183"/>
      <c r="N213" s="119"/>
    </row>
    <row r="214" ht="15.75" customHeight="1">
      <c r="A214" s="119"/>
      <c r="B214" s="119"/>
      <c r="C214" s="119"/>
      <c r="D214" s="119"/>
      <c r="E214" s="119"/>
      <c r="F214" s="119"/>
      <c r="G214" s="119"/>
      <c r="H214" s="119"/>
      <c r="I214" s="119"/>
      <c r="J214" s="119"/>
      <c r="K214" s="119"/>
      <c r="L214" s="119"/>
      <c r="M214" s="119"/>
      <c r="N214" s="119"/>
    </row>
  </sheetData>
  <mergeCells count="19">
    <mergeCell ref="B3:F3"/>
    <mergeCell ref="B4:F4"/>
    <mergeCell ref="B5:F5"/>
    <mergeCell ref="B6:F6"/>
    <mergeCell ref="E8:F8"/>
    <mergeCell ref="B1:M1"/>
    <mergeCell ref="B24:C24"/>
    <mergeCell ref="J24:L24"/>
    <mergeCell ref="B18:H18"/>
    <mergeCell ref="B19:H19"/>
    <mergeCell ref="B20:H20"/>
    <mergeCell ref="F24:H24"/>
    <mergeCell ref="B9:C9"/>
    <mergeCell ref="B10:C10"/>
    <mergeCell ref="B12:H12"/>
    <mergeCell ref="B13:H13"/>
    <mergeCell ref="B15:H15"/>
    <mergeCell ref="B16:H16"/>
    <mergeCell ref="B17:H17"/>
  </mergeCells>
  <conditionalFormatting sqref="J25:J27">
    <cfRule type="containsText" dxfId="0" priority="1" operator="containsText" text="Medium">
      <formula>NOT(ISERROR(SEARCH(("Medium"),(J25))))</formula>
    </cfRule>
  </conditionalFormatting>
  <conditionalFormatting sqref="J25:J27">
    <cfRule type="containsText" dxfId="1" priority="2" operator="containsText" text="High">
      <formula>NOT(ISERROR(SEARCH(("High"),(J25))))</formula>
    </cfRule>
  </conditionalFormatting>
  <conditionalFormatting sqref="B26:B28">
    <cfRule type="containsText" dxfId="2" priority="3" operator="containsText" text="Approved">
      <formula>NOT(ISERROR(SEARCH(("Approved"),(B26))))</formula>
    </cfRule>
  </conditionalFormatting>
  <conditionalFormatting sqref="B26:B28">
    <cfRule type="containsText" dxfId="3" priority="4" operator="containsText" text="Needs Review">
      <formula>NOT(ISERROR(SEARCH(("Needs Review"),(B26))))</formula>
    </cfRule>
  </conditionalFormatting>
  <conditionalFormatting sqref="B26:B28">
    <cfRule type="containsText" dxfId="4" priority="5" operator="containsText" text="Not Started">
      <formula>NOT(ISERROR(SEARCH(("Not Started"),(B26))))</formula>
    </cfRule>
  </conditionalFormatting>
  <conditionalFormatting sqref="B26:B28">
    <cfRule type="containsText" dxfId="5" priority="6" operator="containsText" text="On Hold">
      <formula>NOT(ISERROR(SEARCH(("On Hold"),(B26))))</formula>
    </cfRule>
  </conditionalFormatting>
  <conditionalFormatting sqref="B26:B28">
    <cfRule type="containsText" dxfId="6" priority="7" operator="containsText" text="Open">
      <formula>NOT(ISERROR(SEARCH(("Open"),(B26))))</formula>
    </cfRule>
  </conditionalFormatting>
  <conditionalFormatting sqref="B26:B28">
    <cfRule type="containsText" dxfId="7" priority="8" operator="containsText" text="Closed">
      <formula>NOT(ISERROR(SEARCH(("Closed"),(B26))))</formula>
    </cfRule>
  </conditionalFormatting>
  <conditionalFormatting sqref="B26:B28">
    <cfRule type="containsText" dxfId="8" priority="9" operator="containsText" text="In Progress">
      <formula>NOT(ISERROR(SEARCH(("In Progress"),(B26))))</formula>
    </cfRule>
  </conditionalFormatting>
  <conditionalFormatting sqref="B29:B31">
    <cfRule type="containsText" dxfId="9" priority="10" operator="containsText" text="Minor">
      <formula>NOT(ISERROR(SEARCH(("Minor"),(B29))))</formula>
    </cfRule>
  </conditionalFormatting>
  <conditionalFormatting sqref="B29:B31">
    <cfRule type="containsText" dxfId="21" priority="11" operator="containsText" text="Major">
      <formula>NOT(ISERROR(SEARCH(("Major"),(B29))))</formula>
    </cfRule>
  </conditionalFormatting>
  <conditionalFormatting sqref="B29:B31">
    <cfRule type="containsText" dxfId="11" priority="12" operator="containsText" text="Critical">
      <formula>NOT(ISERROR(SEARCH(("Critical"),(B29))))</formula>
    </cfRule>
  </conditionalFormatting>
  <conditionalFormatting sqref="B35:H59">
    <cfRule type="expression" dxfId="12" priority="13">
      <formula>$J35="FAILED"</formula>
    </cfRule>
  </conditionalFormatting>
  <conditionalFormatting sqref="B64:I213">
    <cfRule type="expression" dxfId="12" priority="14">
      <formula>$J64="FAILED"</formula>
    </cfRule>
  </conditionalFormatting>
  <conditionalFormatting sqref="F26:F29">
    <cfRule type="containsText" dxfId="13" priority="15" operator="containsText" text="Not Executed">
      <formula>NOT(ISERROR(SEARCH(("Not Executed"),(F26))))</formula>
    </cfRule>
  </conditionalFormatting>
  <conditionalFormatting sqref="F26:F29">
    <cfRule type="containsText" dxfId="14" priority="16" operator="containsText" text="BLOCKED">
      <formula>NOT(ISERROR(SEARCH(("BLOCKED"),(F26))))</formula>
    </cfRule>
  </conditionalFormatting>
  <conditionalFormatting sqref="F26:F29">
    <cfRule type="containsText" dxfId="15" priority="17" operator="containsText" text="PASS">
      <formula>NOT(ISERROR(SEARCH(("PASS"),(F26))))</formula>
    </cfRule>
  </conditionalFormatting>
  <conditionalFormatting sqref="F26:F29">
    <cfRule type="containsText" dxfId="16" priority="18" operator="containsText" text="FAIL">
      <formula>NOT(ISERROR(SEARCH(("FAIL"),(F26))))</formula>
    </cfRule>
  </conditionalFormatting>
  <conditionalFormatting sqref="H35:H59">
    <cfRule type="containsText" dxfId="2" priority="19" operator="containsText" text="Approved">
      <formula>NOT(ISERROR(SEARCH(("Approved"),(H35))))</formula>
    </cfRule>
  </conditionalFormatting>
  <conditionalFormatting sqref="H35:H59">
    <cfRule type="containsText" dxfId="3" priority="20" operator="containsText" text="Needs Review">
      <formula>NOT(ISERROR(SEARCH(("Needs Review"),(H35))))</formula>
    </cfRule>
  </conditionalFormatting>
  <conditionalFormatting sqref="H35:H59">
    <cfRule type="containsText" dxfId="4" priority="21" operator="containsText" text="Not Started">
      <formula>NOT(ISERROR(SEARCH(("Not Started"),(H35))))</formula>
    </cfRule>
  </conditionalFormatting>
  <conditionalFormatting sqref="H35:H59">
    <cfRule type="containsText" dxfId="5" priority="22" operator="containsText" text="On Hold">
      <formula>NOT(ISERROR(SEARCH(("On Hold"),(H35))))</formula>
    </cfRule>
  </conditionalFormatting>
  <conditionalFormatting sqref="H35:H59">
    <cfRule type="containsText" dxfId="6" priority="23" operator="containsText" text="Open">
      <formula>NOT(ISERROR(SEARCH(("Open"),(H35))))</formula>
    </cfRule>
  </conditionalFormatting>
  <conditionalFormatting sqref="H35:H59">
    <cfRule type="containsText" dxfId="7" priority="24" operator="containsText" text="Closed">
      <formula>NOT(ISERROR(SEARCH(("Closed"),(H35))))</formula>
    </cfRule>
  </conditionalFormatting>
  <conditionalFormatting sqref="H35:H59">
    <cfRule type="containsText" dxfId="8" priority="25" operator="containsText" text="In Progress">
      <formula>NOT(ISERROR(SEARCH(("In Progress"),(H35))))</formula>
    </cfRule>
  </conditionalFormatting>
  <conditionalFormatting sqref="I35:I59">
    <cfRule type="containsText" dxfId="9" priority="26" operator="containsText" text="Minor">
      <formula>NOT(ISERROR(SEARCH(("Minor"),(I35))))</formula>
    </cfRule>
  </conditionalFormatting>
  <conditionalFormatting sqref="I35:I59">
    <cfRule type="containsText" dxfId="21" priority="27" operator="containsText" text="Major">
      <formula>NOT(ISERROR(SEARCH(("Major"),(I35))))</formula>
    </cfRule>
  </conditionalFormatting>
  <conditionalFormatting sqref="I35:I59">
    <cfRule type="containsText" dxfId="11" priority="28" operator="containsText" text="Critical">
      <formula>NOT(ISERROR(SEARCH(("Critical"),(I35))))</formula>
    </cfRule>
  </conditionalFormatting>
  <conditionalFormatting sqref="J25:J27 K64:K213">
    <cfRule type="containsText" dxfId="18" priority="29" operator="containsText" text="Low">
      <formula>NOT(ISERROR(SEARCH(("Low"),(J25))))</formula>
    </cfRule>
  </conditionalFormatting>
  <conditionalFormatting sqref="K64:K213">
    <cfRule type="containsText" dxfId="19" priority="30" operator="containsText" text="Medium">
      <formula>NOT(ISERROR(SEARCH(("Medium"),(K64))))</formula>
    </cfRule>
  </conditionalFormatting>
  <conditionalFormatting sqref="K64:K213">
    <cfRule type="containsText" dxfId="20" priority="31" operator="containsText" text="High">
      <formula>NOT(ISERROR(SEARCH(("High"),(K64))))</formula>
    </cfRule>
  </conditionalFormatting>
  <dataValidations>
    <dataValidation type="list" allowBlank="1" showErrorMessage="1" sqref="H35:H59">
      <formula1>'Dropdown Keys'!$H$3:$H$5</formula1>
    </dataValidation>
    <dataValidation type="list" allowBlank="1" showErrorMessage="1" sqref="J64:J213">
      <formula1>'Dropdown Keys'!$B$3:$B$6</formula1>
    </dataValidation>
    <dataValidation type="list" allowBlank="1" showErrorMessage="1" sqref="D64:D213">
      <formula1>"Unit,Security,Performance,Integrity"</formula1>
    </dataValidation>
    <dataValidation type="list" allowBlank="1" showErrorMessage="1" sqref="I35:I59">
      <formula1>Status</formula1>
    </dataValidation>
    <dataValidation type="list" allowBlank="1" showErrorMessage="1" sqref="K64:K213">
      <formula1>'Dropdown Keys'!$N$3:$N$5</formula1>
    </dataValidation>
  </dataValidations>
  <printOptions/>
  <pageMargins bottom="0.4" footer="0.0" header="0.0" left="0.4" right="0.4" top="0.4"/>
  <pageSetup fitToHeight="0"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5DCF7"/>
    <pageSetUpPr fitToPage="1"/>
  </sheetPr>
  <sheetViews>
    <sheetView showGridLines="0" workbookViewId="0"/>
  </sheetViews>
  <sheetFormatPr customHeight="1" defaultColWidth="11.22" defaultRowHeight="15.0"/>
  <cols>
    <col customWidth="1" min="1" max="1" width="3.33"/>
    <col customWidth="1" min="2" max="2" width="11.0"/>
    <col customWidth="1" min="3" max="3" width="11.78"/>
    <col customWidth="1" min="4" max="7" width="20.78"/>
    <col customWidth="1" min="8" max="9" width="16.78"/>
    <col customWidth="1" min="10" max="10" width="22.78"/>
    <col customWidth="1" min="11" max="11" width="3.33"/>
    <col customWidth="1" min="12" max="30" width="10.56"/>
  </cols>
  <sheetData>
    <row r="1" ht="38.25" customHeight="1">
      <c r="A1" s="218"/>
      <c r="B1" s="219" t="s">
        <v>784</v>
      </c>
      <c r="C1" s="220"/>
      <c r="D1" s="220"/>
      <c r="E1" s="220"/>
      <c r="F1" s="220"/>
      <c r="G1" s="220"/>
      <c r="H1" s="220"/>
      <c r="I1" s="220"/>
      <c r="J1" s="221"/>
      <c r="K1" s="218"/>
      <c r="L1" s="218"/>
      <c r="M1" s="218"/>
      <c r="N1" s="218"/>
      <c r="O1" s="218"/>
      <c r="P1" s="218"/>
      <c r="Q1" s="218"/>
      <c r="R1" s="218"/>
      <c r="S1" s="218"/>
      <c r="T1" s="218"/>
      <c r="U1" s="218"/>
      <c r="V1" s="218"/>
      <c r="W1" s="218"/>
      <c r="X1" s="218"/>
      <c r="Y1" s="218"/>
      <c r="Z1" s="218"/>
      <c r="AA1" s="218"/>
      <c r="AB1" s="218"/>
      <c r="AC1" s="218"/>
      <c r="AD1" s="218"/>
    </row>
    <row r="2" ht="45.75" customHeight="1">
      <c r="B2" s="222" t="s">
        <v>785</v>
      </c>
      <c r="C2" s="138"/>
      <c r="D2" s="138"/>
      <c r="E2" s="138"/>
      <c r="F2" s="138"/>
      <c r="G2" s="223"/>
    </row>
    <row r="3" ht="19.5" customHeight="1">
      <c r="A3" s="224"/>
      <c r="B3" s="225" t="s">
        <v>662</v>
      </c>
      <c r="C3" s="124"/>
      <c r="D3" s="124"/>
      <c r="E3" s="125"/>
      <c r="F3" s="226" t="s">
        <v>649</v>
      </c>
      <c r="G3" s="227"/>
      <c r="H3" s="224"/>
      <c r="I3" s="224"/>
      <c r="J3" s="224"/>
      <c r="K3" s="224"/>
      <c r="L3" s="224"/>
      <c r="M3" s="228"/>
      <c r="N3" s="228"/>
      <c r="O3" s="228"/>
      <c r="P3" s="228"/>
      <c r="Q3" s="228"/>
      <c r="R3" s="228"/>
      <c r="S3" s="228"/>
      <c r="T3" s="228"/>
      <c r="U3" s="228"/>
      <c r="V3" s="228"/>
      <c r="W3" s="228"/>
      <c r="X3" s="228"/>
      <c r="Y3" s="228"/>
      <c r="Z3" s="228"/>
      <c r="AA3" s="228"/>
      <c r="AB3" s="228"/>
      <c r="AC3" s="228"/>
      <c r="AD3" s="228"/>
    </row>
    <row r="4" ht="34.5" customHeight="1">
      <c r="A4" s="224"/>
      <c r="B4" s="229" t="s">
        <v>786</v>
      </c>
      <c r="C4" s="129"/>
      <c r="D4" s="129"/>
      <c r="E4" s="130"/>
      <c r="F4" s="230">
        <f>C25</f>
        <v>25</v>
      </c>
      <c r="G4" s="227"/>
      <c r="H4" s="224"/>
      <c r="I4" s="224"/>
      <c r="J4" s="224"/>
      <c r="K4" s="224"/>
      <c r="L4" s="224"/>
      <c r="M4" s="228"/>
      <c r="N4" s="228"/>
      <c r="O4" s="228"/>
      <c r="P4" s="228"/>
      <c r="Q4" s="228"/>
      <c r="R4" s="228"/>
      <c r="S4" s="228"/>
      <c r="T4" s="228"/>
      <c r="U4" s="228"/>
      <c r="V4" s="228"/>
      <c r="W4" s="228"/>
      <c r="X4" s="228"/>
      <c r="Y4" s="228"/>
      <c r="Z4" s="228"/>
      <c r="AA4" s="228"/>
      <c r="AB4" s="228"/>
      <c r="AC4" s="228"/>
      <c r="AD4" s="228"/>
    </row>
    <row r="5" ht="19.5" customHeight="1">
      <c r="A5" s="224"/>
      <c r="B5" s="231" t="s">
        <v>663</v>
      </c>
      <c r="C5" s="133"/>
      <c r="D5" s="133"/>
      <c r="E5" s="134"/>
      <c r="F5" s="232" t="s">
        <v>664</v>
      </c>
      <c r="G5" s="227"/>
      <c r="H5" s="224"/>
      <c r="I5" s="224"/>
      <c r="J5" s="224"/>
      <c r="K5" s="224"/>
      <c r="L5" s="224"/>
      <c r="M5" s="228"/>
      <c r="N5" s="228"/>
      <c r="O5" s="228"/>
      <c r="P5" s="228"/>
      <c r="Q5" s="228"/>
      <c r="R5" s="228"/>
      <c r="S5" s="228"/>
      <c r="T5" s="228"/>
      <c r="U5" s="228"/>
      <c r="V5" s="228"/>
      <c r="W5" s="228"/>
      <c r="X5" s="228"/>
      <c r="Y5" s="228"/>
      <c r="Z5" s="228"/>
      <c r="AA5" s="228"/>
      <c r="AB5" s="228"/>
      <c r="AC5" s="228"/>
      <c r="AD5" s="228"/>
    </row>
    <row r="6" ht="34.5" customHeight="1">
      <c r="A6" s="224"/>
      <c r="B6" s="229" t="s">
        <v>787</v>
      </c>
      <c r="C6" s="129"/>
      <c r="D6" s="129"/>
      <c r="E6" s="130"/>
      <c r="F6" s="233">
        <f>F25</f>
        <v>150</v>
      </c>
      <c r="G6" s="227"/>
      <c r="H6" s="224"/>
      <c r="I6" s="224"/>
      <c r="J6" s="224"/>
      <c r="K6" s="224"/>
      <c r="L6" s="224"/>
      <c r="M6" s="228"/>
      <c r="N6" s="228"/>
      <c r="O6" s="228"/>
      <c r="P6" s="228"/>
      <c r="Q6" s="228"/>
      <c r="R6" s="228"/>
      <c r="S6" s="228"/>
      <c r="T6" s="228"/>
      <c r="U6" s="228"/>
      <c r="V6" s="228"/>
      <c r="W6" s="228"/>
      <c r="X6" s="228"/>
      <c r="Y6" s="228"/>
      <c r="Z6" s="228"/>
      <c r="AA6" s="228"/>
      <c r="AB6" s="228"/>
      <c r="AC6" s="228"/>
      <c r="AD6" s="228"/>
    </row>
    <row r="7" ht="15.75" customHeight="1"/>
    <row r="8" ht="15.75" customHeight="1">
      <c r="E8" s="234" t="s">
        <v>666</v>
      </c>
      <c r="F8" s="138"/>
    </row>
    <row r="9" ht="15.75" customHeight="1">
      <c r="B9" s="235" t="s">
        <v>667</v>
      </c>
      <c r="C9" s="125"/>
      <c r="D9" s="236" t="s">
        <v>668</v>
      </c>
      <c r="E9" s="237" t="s">
        <v>669</v>
      </c>
      <c r="F9" s="238" t="s">
        <v>670</v>
      </c>
    </row>
    <row r="10" ht="34.5" customHeight="1">
      <c r="B10" s="239" t="s">
        <v>788</v>
      </c>
      <c r="C10" s="130"/>
      <c r="D10" s="240" t="s">
        <v>789</v>
      </c>
      <c r="E10" s="241" t="s">
        <v>790</v>
      </c>
      <c r="F10" s="242" t="s">
        <v>791</v>
      </c>
    </row>
    <row r="11" ht="15.75" customHeight="1"/>
    <row r="12" ht="24.75" customHeight="1">
      <c r="A12" s="224"/>
      <c r="B12" s="243" t="s">
        <v>792</v>
      </c>
      <c r="C12" s="124"/>
      <c r="D12" s="124"/>
      <c r="E12" s="124"/>
      <c r="F12" s="125"/>
      <c r="G12" s="224"/>
      <c r="H12" s="224"/>
      <c r="I12" s="224"/>
      <c r="J12" s="224"/>
      <c r="K12" s="224"/>
      <c r="L12" s="224"/>
      <c r="M12" s="228"/>
      <c r="N12" s="228"/>
      <c r="O12" s="228"/>
      <c r="P12" s="228"/>
      <c r="Q12" s="228"/>
      <c r="R12" s="228"/>
      <c r="S12" s="228"/>
      <c r="T12" s="228"/>
      <c r="U12" s="228"/>
      <c r="V12" s="228"/>
      <c r="W12" s="228"/>
      <c r="X12" s="228"/>
      <c r="Y12" s="228"/>
      <c r="Z12" s="228"/>
      <c r="AA12" s="228"/>
      <c r="AB12" s="228"/>
      <c r="AC12" s="228"/>
      <c r="AD12" s="228"/>
    </row>
    <row r="13" ht="64.5" customHeight="1">
      <c r="A13" s="224"/>
      <c r="B13" s="244" t="s">
        <v>793</v>
      </c>
      <c r="C13" s="129"/>
      <c r="D13" s="129"/>
      <c r="E13" s="129"/>
      <c r="F13" s="130"/>
      <c r="G13" s="224"/>
      <c r="H13" s="224"/>
      <c r="I13" s="224"/>
      <c r="J13" s="224"/>
      <c r="K13" s="224"/>
      <c r="L13" s="224"/>
      <c r="M13" s="228"/>
      <c r="N13" s="228"/>
      <c r="O13" s="228"/>
      <c r="P13" s="228"/>
      <c r="Q13" s="228"/>
      <c r="R13" s="228"/>
      <c r="S13" s="228"/>
      <c r="T13" s="228"/>
      <c r="U13" s="228"/>
      <c r="V13" s="228"/>
      <c r="W13" s="228"/>
      <c r="X13" s="228"/>
      <c r="Y13" s="228"/>
      <c r="Z13" s="228"/>
      <c r="AA13" s="228"/>
      <c r="AB13" s="228"/>
      <c r="AC13" s="228"/>
      <c r="AD13" s="228"/>
    </row>
    <row r="14" ht="15.75" customHeight="1"/>
    <row r="15" ht="24.75" customHeight="1">
      <c r="A15" s="224"/>
      <c r="B15" s="245" t="s">
        <v>794</v>
      </c>
      <c r="C15" s="124"/>
      <c r="D15" s="124"/>
      <c r="E15" s="124"/>
      <c r="F15" s="125"/>
      <c r="G15" s="224"/>
      <c r="H15" s="224"/>
      <c r="I15" s="224"/>
      <c r="J15" s="224"/>
      <c r="K15" s="224"/>
      <c r="L15" s="224"/>
      <c r="M15" s="228"/>
      <c r="N15" s="228"/>
      <c r="O15" s="228"/>
      <c r="P15" s="228"/>
      <c r="Q15" s="228"/>
      <c r="R15" s="228"/>
      <c r="S15" s="228"/>
      <c r="T15" s="228"/>
      <c r="U15" s="228"/>
      <c r="V15" s="228"/>
      <c r="W15" s="228"/>
      <c r="X15" s="228"/>
      <c r="Y15" s="228"/>
      <c r="Z15" s="228"/>
      <c r="AA15" s="228"/>
      <c r="AB15" s="228"/>
      <c r="AC15" s="228"/>
      <c r="AD15" s="228"/>
    </row>
    <row r="16" ht="64.5" customHeight="1">
      <c r="A16" s="224"/>
      <c r="B16" s="244" t="s">
        <v>795</v>
      </c>
      <c r="C16" s="129"/>
      <c r="D16" s="129"/>
      <c r="E16" s="129"/>
      <c r="F16" s="130"/>
      <c r="G16" s="224"/>
      <c r="H16" s="224"/>
      <c r="I16" s="224"/>
      <c r="J16" s="224"/>
      <c r="K16" s="224"/>
      <c r="L16" s="224"/>
      <c r="M16" s="228"/>
      <c r="N16" s="228"/>
      <c r="O16" s="228"/>
      <c r="P16" s="228"/>
      <c r="Q16" s="228"/>
      <c r="R16" s="228"/>
      <c r="S16" s="228"/>
      <c r="T16" s="228"/>
      <c r="U16" s="228"/>
      <c r="V16" s="228"/>
      <c r="W16" s="228"/>
      <c r="X16" s="228"/>
      <c r="Y16" s="228"/>
      <c r="Z16" s="228"/>
      <c r="AA16" s="228"/>
      <c r="AB16" s="228"/>
      <c r="AC16" s="228"/>
      <c r="AD16" s="228"/>
    </row>
    <row r="17" ht="24.75" customHeight="1">
      <c r="A17" s="224"/>
      <c r="B17" s="246" t="s">
        <v>796</v>
      </c>
      <c r="C17" s="133"/>
      <c r="D17" s="133"/>
      <c r="E17" s="133"/>
      <c r="F17" s="134"/>
      <c r="G17" s="224"/>
      <c r="H17" s="224"/>
      <c r="I17" s="224"/>
      <c r="J17" s="224"/>
      <c r="K17" s="224"/>
      <c r="L17" s="224"/>
      <c r="M17" s="228"/>
      <c r="N17" s="228"/>
      <c r="O17" s="228"/>
      <c r="P17" s="228"/>
      <c r="Q17" s="228"/>
      <c r="R17" s="228"/>
      <c r="S17" s="228"/>
      <c r="T17" s="228"/>
      <c r="U17" s="228"/>
      <c r="V17" s="228"/>
      <c r="W17" s="228"/>
      <c r="X17" s="228"/>
      <c r="Y17" s="228"/>
      <c r="Z17" s="228"/>
      <c r="AA17" s="228"/>
      <c r="AB17" s="228"/>
      <c r="AC17" s="228"/>
      <c r="AD17" s="228"/>
    </row>
    <row r="18" ht="64.5" customHeight="1">
      <c r="A18" s="224"/>
      <c r="B18" s="244" t="s">
        <v>797</v>
      </c>
      <c r="C18" s="129"/>
      <c r="D18" s="129"/>
      <c r="E18" s="129"/>
      <c r="F18" s="130"/>
      <c r="G18" s="224"/>
      <c r="H18" s="224"/>
      <c r="I18" s="224"/>
      <c r="J18" s="224"/>
      <c r="K18" s="224"/>
      <c r="L18" s="224"/>
      <c r="M18" s="228"/>
      <c r="N18" s="228"/>
      <c r="O18" s="228"/>
      <c r="P18" s="228"/>
      <c r="Q18" s="228"/>
      <c r="R18" s="228"/>
      <c r="S18" s="228"/>
      <c r="T18" s="228"/>
      <c r="U18" s="228"/>
      <c r="V18" s="228"/>
      <c r="W18" s="228"/>
      <c r="X18" s="228"/>
      <c r="Y18" s="228"/>
      <c r="Z18" s="228"/>
      <c r="AA18" s="228"/>
      <c r="AB18" s="228"/>
      <c r="AC18" s="228"/>
      <c r="AD18" s="228"/>
    </row>
    <row r="19" ht="24.75" customHeight="1">
      <c r="A19" s="224"/>
      <c r="B19" s="246" t="s">
        <v>798</v>
      </c>
      <c r="C19" s="133"/>
      <c r="D19" s="133"/>
      <c r="E19" s="133"/>
      <c r="F19" s="134"/>
      <c r="G19" s="224"/>
      <c r="H19" s="224"/>
      <c r="I19" s="224"/>
      <c r="J19" s="224"/>
      <c r="K19" s="224"/>
      <c r="L19" s="224"/>
      <c r="M19" s="228"/>
      <c r="N19" s="228"/>
      <c r="O19" s="228"/>
      <c r="P19" s="228"/>
      <c r="Q19" s="228"/>
      <c r="R19" s="228"/>
      <c r="S19" s="228"/>
      <c r="T19" s="228"/>
      <c r="U19" s="228"/>
      <c r="V19" s="228"/>
      <c r="W19" s="228"/>
      <c r="X19" s="228"/>
      <c r="Y19" s="228"/>
      <c r="Z19" s="228"/>
      <c r="AA19" s="228"/>
      <c r="AB19" s="228"/>
      <c r="AC19" s="228"/>
      <c r="AD19" s="228"/>
    </row>
    <row r="20" ht="64.5" customHeight="1">
      <c r="A20" s="224"/>
      <c r="B20" s="247" t="s">
        <v>799</v>
      </c>
      <c r="C20" s="129"/>
      <c r="D20" s="129"/>
      <c r="E20" s="129"/>
      <c r="F20" s="130"/>
      <c r="G20" s="224"/>
      <c r="H20" s="224"/>
      <c r="I20" s="224"/>
      <c r="J20" s="224"/>
      <c r="K20" s="224"/>
      <c r="L20" s="224"/>
      <c r="M20" s="228"/>
      <c r="N20" s="228"/>
      <c r="O20" s="228"/>
      <c r="P20" s="228"/>
      <c r="Q20" s="228"/>
      <c r="R20" s="228"/>
      <c r="S20" s="228"/>
      <c r="T20" s="228"/>
      <c r="U20" s="228"/>
      <c r="V20" s="228"/>
      <c r="W20" s="228"/>
      <c r="X20" s="228"/>
      <c r="Y20" s="228"/>
      <c r="Z20" s="228"/>
      <c r="AA20" s="228"/>
      <c r="AB20" s="228"/>
      <c r="AC20" s="228"/>
      <c r="AD20" s="228"/>
    </row>
    <row r="21" ht="69.0" customHeight="1"/>
    <row r="22" ht="9.0" customHeight="1">
      <c r="B22" s="248"/>
      <c r="C22" s="248"/>
      <c r="D22" s="248"/>
      <c r="E22" s="248"/>
      <c r="F22" s="248"/>
      <c r="G22" s="248"/>
      <c r="H22" s="248"/>
      <c r="I22" s="248"/>
      <c r="J22" s="248"/>
    </row>
    <row r="23" ht="34.5" customHeight="1">
      <c r="A23" s="224"/>
      <c r="B23" s="249" t="s">
        <v>677</v>
      </c>
      <c r="C23" s="228"/>
      <c r="D23" s="228"/>
      <c r="E23" s="228"/>
      <c r="F23" s="228"/>
      <c r="G23" s="228"/>
      <c r="H23" s="228"/>
      <c r="I23" s="228"/>
      <c r="J23" s="228"/>
      <c r="K23" s="228"/>
      <c r="L23" s="228"/>
      <c r="M23" s="228"/>
      <c r="N23" s="228"/>
      <c r="O23" s="228"/>
      <c r="P23" s="228"/>
      <c r="Q23" s="228"/>
      <c r="R23" s="228"/>
      <c r="S23" s="228"/>
      <c r="T23" s="228"/>
      <c r="U23" s="228"/>
      <c r="V23" s="228"/>
      <c r="W23" s="228"/>
      <c r="X23" s="228"/>
      <c r="Y23" s="228"/>
      <c r="Z23" s="228"/>
      <c r="AA23" s="228"/>
      <c r="AB23" s="228"/>
      <c r="AC23" s="228"/>
      <c r="AD23" s="228"/>
    </row>
    <row r="24" ht="25.5" customHeight="1">
      <c r="B24" s="250" t="s">
        <v>678</v>
      </c>
      <c r="E24" s="250" t="s">
        <v>679</v>
      </c>
    </row>
    <row r="25" ht="34.5" customHeight="1">
      <c r="B25" s="251" t="s">
        <v>681</v>
      </c>
      <c r="C25" s="252">
        <f>COUNTIF(B35:B59, "*")</f>
        <v>25</v>
      </c>
      <c r="E25" s="253" t="s">
        <v>682</v>
      </c>
      <c r="F25" s="254">
        <f>COUNTIF(B64:B213, "*")</f>
        <v>150</v>
      </c>
    </row>
    <row r="26" ht="29.25" customHeight="1">
      <c r="B26" s="255" t="s">
        <v>684</v>
      </c>
      <c r="C26" s="256">
        <f>COUNTIF(G35:G59,B26)</f>
        <v>4</v>
      </c>
      <c r="E26" s="257" t="s">
        <v>685</v>
      </c>
      <c r="F26" s="256">
        <f>COUNTIF(H64:H213,E26)</f>
        <v>109</v>
      </c>
    </row>
    <row r="27" ht="29.25" customHeight="1">
      <c r="B27" s="258" t="s">
        <v>112</v>
      </c>
      <c r="C27" s="259">
        <f>COUNTIF(G35:G59,B27)</f>
        <v>5</v>
      </c>
      <c r="E27" s="260" t="s">
        <v>687</v>
      </c>
      <c r="F27" s="259">
        <f>COUNTIF(H64:H213,E27)</f>
        <v>21</v>
      </c>
    </row>
    <row r="28" ht="29.25" customHeight="1">
      <c r="B28" s="258" t="s">
        <v>689</v>
      </c>
      <c r="C28" s="259">
        <f>COUNTIF(G35:G59,B28)</f>
        <v>16</v>
      </c>
      <c r="E28" s="260" t="s">
        <v>690</v>
      </c>
      <c r="F28" s="259">
        <f>COUNTIF(H64:H213,E28)</f>
        <v>15</v>
      </c>
    </row>
    <row r="29" ht="29.25" customHeight="1">
      <c r="B29" s="261" t="s">
        <v>691</v>
      </c>
      <c r="C29" s="259">
        <f>COUNTIF(H35:H59,B29)</f>
        <v>13</v>
      </c>
      <c r="E29" s="260" t="s">
        <v>692</v>
      </c>
      <c r="F29" s="259">
        <f>COUNTIF(H64:H213,E29)</f>
        <v>5</v>
      </c>
    </row>
    <row r="30" ht="29.25" customHeight="1">
      <c r="B30" s="261" t="s">
        <v>693</v>
      </c>
      <c r="C30" s="259">
        <f>COUNTIF(H35:H59,B30)</f>
        <v>7</v>
      </c>
    </row>
    <row r="31" ht="29.25" customHeight="1">
      <c r="B31" s="261" t="s">
        <v>694</v>
      </c>
      <c r="C31" s="259">
        <f>COUNTIF(H35:H59,B31)</f>
        <v>5</v>
      </c>
    </row>
    <row r="32" ht="15.75" customHeight="1"/>
    <row r="33" ht="34.5" customHeight="1">
      <c r="A33" s="224"/>
      <c r="B33" s="262" t="s">
        <v>695</v>
      </c>
      <c r="C33" s="228"/>
      <c r="D33" s="228"/>
      <c r="E33" s="228"/>
      <c r="F33" s="228"/>
      <c r="G33" s="228"/>
      <c r="H33" s="228"/>
      <c r="I33" s="228"/>
      <c r="J33" s="228"/>
      <c r="K33" s="228"/>
      <c r="L33" s="228"/>
      <c r="M33" s="228"/>
      <c r="N33" s="228"/>
      <c r="O33" s="228"/>
      <c r="P33" s="228"/>
      <c r="Q33" s="228"/>
      <c r="R33" s="228"/>
      <c r="S33" s="228"/>
      <c r="T33" s="228"/>
      <c r="U33" s="228"/>
      <c r="V33" s="228"/>
      <c r="W33" s="228"/>
      <c r="X33" s="228"/>
      <c r="Y33" s="228"/>
      <c r="Z33" s="228"/>
      <c r="AA33" s="228"/>
      <c r="AB33" s="228"/>
      <c r="AC33" s="228"/>
      <c r="AD33" s="228"/>
    </row>
    <row r="34" ht="39.75" customHeight="1">
      <c r="A34" s="263"/>
      <c r="B34" s="264" t="s">
        <v>696</v>
      </c>
      <c r="C34" s="264" t="s">
        <v>697</v>
      </c>
      <c r="D34" s="265" t="s">
        <v>698</v>
      </c>
      <c r="E34" s="265" t="s">
        <v>699</v>
      </c>
      <c r="F34" s="265" t="s">
        <v>700</v>
      </c>
      <c r="G34" s="264" t="s">
        <v>702</v>
      </c>
      <c r="H34" s="264" t="s">
        <v>703</v>
      </c>
      <c r="I34" s="266" t="s">
        <v>704</v>
      </c>
      <c r="J34" s="266" t="s">
        <v>652</v>
      </c>
      <c r="K34" s="263"/>
      <c r="L34" s="263"/>
      <c r="M34" s="263"/>
      <c r="N34" s="263"/>
      <c r="O34" s="263"/>
      <c r="P34" s="263"/>
      <c r="Q34" s="263"/>
      <c r="R34" s="263"/>
      <c r="S34" s="263"/>
      <c r="T34" s="263"/>
      <c r="U34" s="263"/>
      <c r="V34" s="263"/>
      <c r="W34" s="263"/>
      <c r="X34" s="263"/>
      <c r="Y34" s="263"/>
      <c r="Z34" s="263"/>
      <c r="AA34" s="263"/>
      <c r="AB34" s="263"/>
      <c r="AC34" s="263"/>
      <c r="AD34" s="263"/>
    </row>
    <row r="35" ht="15.75" customHeight="1">
      <c r="B35" s="267" t="s">
        <v>800</v>
      </c>
      <c r="C35" s="268" t="s">
        <v>801</v>
      </c>
      <c r="D35" s="269"/>
      <c r="E35" s="269"/>
      <c r="F35" s="269"/>
      <c r="G35" s="270" t="s">
        <v>689</v>
      </c>
      <c r="H35" s="271" t="s">
        <v>691</v>
      </c>
      <c r="I35" s="272"/>
      <c r="J35" s="273"/>
    </row>
    <row r="36" ht="15.75" customHeight="1">
      <c r="B36" s="267" t="s">
        <v>802</v>
      </c>
      <c r="C36" s="268" t="s">
        <v>801</v>
      </c>
      <c r="D36" s="269"/>
      <c r="E36" s="269"/>
      <c r="F36" s="269"/>
      <c r="G36" s="258" t="s">
        <v>112</v>
      </c>
      <c r="H36" s="271" t="s">
        <v>693</v>
      </c>
      <c r="I36" s="272"/>
      <c r="J36" s="273"/>
    </row>
    <row r="37" ht="15.75" customHeight="1">
      <c r="B37" s="267" t="s">
        <v>803</v>
      </c>
      <c r="C37" s="268" t="s">
        <v>801</v>
      </c>
      <c r="D37" s="269"/>
      <c r="E37" s="269"/>
      <c r="F37" s="269"/>
      <c r="G37" s="258" t="s">
        <v>684</v>
      </c>
      <c r="H37" s="271" t="s">
        <v>694</v>
      </c>
      <c r="I37" s="272"/>
      <c r="J37" s="273"/>
    </row>
    <row r="38" ht="15.75" customHeight="1">
      <c r="B38" s="267" t="s">
        <v>804</v>
      </c>
      <c r="C38" s="268" t="s">
        <v>801</v>
      </c>
      <c r="D38" s="269"/>
      <c r="E38" s="269"/>
      <c r="F38" s="269"/>
      <c r="G38" s="270" t="s">
        <v>112</v>
      </c>
      <c r="H38" s="271" t="s">
        <v>694</v>
      </c>
      <c r="I38" s="272"/>
      <c r="J38" s="273"/>
    </row>
    <row r="39" ht="15.75" customHeight="1">
      <c r="B39" s="267" t="s">
        <v>805</v>
      </c>
      <c r="C39" s="268" t="s">
        <v>801</v>
      </c>
      <c r="D39" s="269"/>
      <c r="E39" s="269"/>
      <c r="F39" s="269"/>
      <c r="G39" s="270" t="s">
        <v>689</v>
      </c>
      <c r="H39" s="271" t="s">
        <v>694</v>
      </c>
      <c r="I39" s="272"/>
      <c r="J39" s="273"/>
    </row>
    <row r="40" ht="15.75" customHeight="1">
      <c r="B40" s="267" t="s">
        <v>806</v>
      </c>
      <c r="C40" s="268" t="s">
        <v>801</v>
      </c>
      <c r="D40" s="269"/>
      <c r="E40" s="269"/>
      <c r="F40" s="269"/>
      <c r="G40" s="270" t="s">
        <v>689</v>
      </c>
      <c r="H40" s="271" t="s">
        <v>694</v>
      </c>
      <c r="I40" s="272"/>
      <c r="J40" s="273"/>
    </row>
    <row r="41" ht="15.75" customHeight="1">
      <c r="B41" s="267" t="s">
        <v>807</v>
      </c>
      <c r="C41" s="268" t="s">
        <v>801</v>
      </c>
      <c r="D41" s="269"/>
      <c r="E41" s="269"/>
      <c r="F41" s="269"/>
      <c r="G41" s="270" t="s">
        <v>689</v>
      </c>
      <c r="H41" s="274" t="s">
        <v>694</v>
      </c>
      <c r="I41" s="272"/>
      <c r="J41" s="273"/>
    </row>
    <row r="42" ht="15.75" customHeight="1">
      <c r="B42" s="267" t="s">
        <v>808</v>
      </c>
      <c r="C42" s="268" t="s">
        <v>801</v>
      </c>
      <c r="D42" s="269"/>
      <c r="E42" s="269"/>
      <c r="F42" s="269"/>
      <c r="G42" s="275" t="s">
        <v>684</v>
      </c>
      <c r="H42" s="271" t="s">
        <v>691</v>
      </c>
      <c r="I42" s="272"/>
      <c r="J42" s="273"/>
    </row>
    <row r="43" ht="15.75" customHeight="1">
      <c r="B43" s="267" t="s">
        <v>809</v>
      </c>
      <c r="C43" s="268" t="s">
        <v>801</v>
      </c>
      <c r="D43" s="269"/>
      <c r="E43" s="269"/>
      <c r="F43" s="269"/>
      <c r="G43" s="270" t="s">
        <v>689</v>
      </c>
      <c r="H43" s="271" t="s">
        <v>691</v>
      </c>
      <c r="I43" s="272"/>
      <c r="J43" s="273"/>
    </row>
    <row r="44" ht="15.75" customHeight="1">
      <c r="B44" s="267" t="s">
        <v>810</v>
      </c>
      <c r="C44" s="268" t="s">
        <v>801</v>
      </c>
      <c r="D44" s="269"/>
      <c r="E44" s="269"/>
      <c r="F44" s="269"/>
      <c r="G44" s="270" t="s">
        <v>689</v>
      </c>
      <c r="H44" s="271" t="s">
        <v>691</v>
      </c>
      <c r="I44" s="272"/>
      <c r="J44" s="273"/>
    </row>
    <row r="45" ht="15.75" customHeight="1">
      <c r="B45" s="267" t="s">
        <v>811</v>
      </c>
      <c r="C45" s="268" t="s">
        <v>801</v>
      </c>
      <c r="D45" s="269"/>
      <c r="E45" s="269"/>
      <c r="F45" s="269"/>
      <c r="G45" s="270" t="s">
        <v>112</v>
      </c>
      <c r="H45" s="271" t="s">
        <v>691</v>
      </c>
      <c r="I45" s="272"/>
      <c r="J45" s="273"/>
    </row>
    <row r="46" ht="15.75" customHeight="1">
      <c r="B46" s="267" t="s">
        <v>812</v>
      </c>
      <c r="C46" s="268" t="s">
        <v>801</v>
      </c>
      <c r="D46" s="269"/>
      <c r="E46" s="269"/>
      <c r="F46" s="269"/>
      <c r="G46" s="270" t="s">
        <v>112</v>
      </c>
      <c r="H46" s="271" t="s">
        <v>691</v>
      </c>
      <c r="I46" s="272"/>
      <c r="J46" s="273"/>
    </row>
    <row r="47" ht="15.75" customHeight="1">
      <c r="B47" s="267" t="s">
        <v>813</v>
      </c>
      <c r="C47" s="268" t="s">
        <v>801</v>
      </c>
      <c r="D47" s="269"/>
      <c r="E47" s="269"/>
      <c r="F47" s="269"/>
      <c r="G47" s="270" t="s">
        <v>112</v>
      </c>
      <c r="H47" s="271" t="s">
        <v>691</v>
      </c>
      <c r="I47" s="272"/>
      <c r="J47" s="273"/>
    </row>
    <row r="48" ht="15.75" customHeight="1">
      <c r="B48" s="267" t="s">
        <v>814</v>
      </c>
      <c r="C48" s="268" t="s">
        <v>801</v>
      </c>
      <c r="D48" s="269"/>
      <c r="E48" s="269"/>
      <c r="F48" s="269"/>
      <c r="G48" s="270" t="s">
        <v>684</v>
      </c>
      <c r="H48" s="271" t="s">
        <v>691</v>
      </c>
      <c r="I48" s="272"/>
      <c r="J48" s="273"/>
    </row>
    <row r="49" ht="15.75" customHeight="1">
      <c r="B49" s="267" t="s">
        <v>815</v>
      </c>
      <c r="C49" s="268" t="s">
        <v>801</v>
      </c>
      <c r="D49" s="269"/>
      <c r="E49" s="269"/>
      <c r="F49" s="269"/>
      <c r="G49" s="270" t="s">
        <v>684</v>
      </c>
      <c r="H49" s="271" t="s">
        <v>691</v>
      </c>
      <c r="I49" s="272"/>
      <c r="J49" s="273"/>
    </row>
    <row r="50" ht="15.75" customHeight="1">
      <c r="B50" s="267" t="s">
        <v>816</v>
      </c>
      <c r="C50" s="268" t="s">
        <v>801</v>
      </c>
      <c r="D50" s="269"/>
      <c r="E50" s="269"/>
      <c r="F50" s="269"/>
      <c r="G50" s="270" t="s">
        <v>689</v>
      </c>
      <c r="H50" s="271" t="s">
        <v>691</v>
      </c>
      <c r="I50" s="272"/>
      <c r="J50" s="273"/>
    </row>
    <row r="51" ht="15.75" customHeight="1">
      <c r="B51" s="267" t="s">
        <v>817</v>
      </c>
      <c r="C51" s="268" t="s">
        <v>801</v>
      </c>
      <c r="D51" s="269"/>
      <c r="E51" s="269"/>
      <c r="F51" s="269"/>
      <c r="G51" s="270" t="s">
        <v>689</v>
      </c>
      <c r="H51" s="271" t="s">
        <v>691</v>
      </c>
      <c r="I51" s="272"/>
      <c r="J51" s="273"/>
    </row>
    <row r="52" ht="15.75" customHeight="1">
      <c r="B52" s="267" t="s">
        <v>818</v>
      </c>
      <c r="C52" s="268" t="s">
        <v>801</v>
      </c>
      <c r="D52" s="269"/>
      <c r="E52" s="269"/>
      <c r="F52" s="269"/>
      <c r="G52" s="270" t="s">
        <v>689</v>
      </c>
      <c r="H52" s="271" t="s">
        <v>691</v>
      </c>
      <c r="I52" s="272"/>
      <c r="J52" s="273"/>
    </row>
    <row r="53" ht="15.75" customHeight="1">
      <c r="B53" s="267" t="s">
        <v>819</v>
      </c>
      <c r="C53" s="268" t="s">
        <v>801</v>
      </c>
      <c r="D53" s="269"/>
      <c r="E53" s="269"/>
      <c r="F53" s="269"/>
      <c r="G53" s="270" t="s">
        <v>689</v>
      </c>
      <c r="H53" s="271" t="s">
        <v>691</v>
      </c>
      <c r="I53" s="272"/>
      <c r="J53" s="273"/>
    </row>
    <row r="54" ht="15.75" customHeight="1">
      <c r="B54" s="267" t="s">
        <v>820</v>
      </c>
      <c r="C54" s="268" t="s">
        <v>801</v>
      </c>
      <c r="D54" s="269"/>
      <c r="E54" s="269"/>
      <c r="F54" s="269"/>
      <c r="G54" s="270" t="s">
        <v>689</v>
      </c>
      <c r="H54" s="271" t="s">
        <v>693</v>
      </c>
      <c r="I54" s="272"/>
      <c r="J54" s="273"/>
    </row>
    <row r="55" ht="15.75" customHeight="1">
      <c r="B55" s="267" t="s">
        <v>821</v>
      </c>
      <c r="C55" s="268" t="s">
        <v>801</v>
      </c>
      <c r="D55" s="269"/>
      <c r="E55" s="269"/>
      <c r="F55" s="269"/>
      <c r="G55" s="270" t="s">
        <v>689</v>
      </c>
      <c r="H55" s="271" t="s">
        <v>693</v>
      </c>
      <c r="I55" s="272"/>
      <c r="J55" s="273"/>
    </row>
    <row r="56" ht="15.75" customHeight="1">
      <c r="B56" s="267" t="s">
        <v>822</v>
      </c>
      <c r="C56" s="268" t="s">
        <v>801</v>
      </c>
      <c r="D56" s="269"/>
      <c r="E56" s="269"/>
      <c r="F56" s="269"/>
      <c r="G56" s="270" t="s">
        <v>689</v>
      </c>
      <c r="H56" s="271" t="s">
        <v>693</v>
      </c>
      <c r="I56" s="272"/>
      <c r="J56" s="273"/>
    </row>
    <row r="57" ht="15.75" customHeight="1">
      <c r="B57" s="267" t="s">
        <v>823</v>
      </c>
      <c r="C57" s="268" t="s">
        <v>801</v>
      </c>
      <c r="D57" s="269"/>
      <c r="E57" s="269"/>
      <c r="F57" s="269"/>
      <c r="G57" s="270" t="s">
        <v>689</v>
      </c>
      <c r="H57" s="271" t="s">
        <v>693</v>
      </c>
      <c r="I57" s="272"/>
      <c r="J57" s="273"/>
    </row>
    <row r="58" ht="15.75" customHeight="1">
      <c r="B58" s="267" t="s">
        <v>824</v>
      </c>
      <c r="C58" s="268" t="s">
        <v>801</v>
      </c>
      <c r="D58" s="269"/>
      <c r="E58" s="269"/>
      <c r="F58" s="269"/>
      <c r="G58" s="270" t="s">
        <v>689</v>
      </c>
      <c r="H58" s="271" t="s">
        <v>693</v>
      </c>
      <c r="I58" s="272"/>
      <c r="J58" s="273"/>
    </row>
    <row r="59" ht="15.75" customHeight="1">
      <c r="B59" s="267" t="s">
        <v>825</v>
      </c>
      <c r="C59" s="268" t="s">
        <v>801</v>
      </c>
      <c r="D59" s="269"/>
      <c r="E59" s="269"/>
      <c r="F59" s="269"/>
      <c r="G59" s="270" t="s">
        <v>689</v>
      </c>
      <c r="H59" s="271" t="s">
        <v>693</v>
      </c>
      <c r="I59" s="272"/>
      <c r="J59" s="273"/>
    </row>
    <row r="60" ht="15.75" customHeight="1"/>
    <row r="61" ht="9.75" customHeight="1">
      <c r="A61" s="224"/>
      <c r="B61" s="224"/>
      <c r="C61" s="228"/>
      <c r="D61" s="228"/>
      <c r="E61" s="228"/>
      <c r="F61" s="228"/>
      <c r="G61" s="228"/>
      <c r="H61" s="228"/>
      <c r="I61" s="228"/>
      <c r="J61" s="228"/>
      <c r="K61" s="228"/>
      <c r="L61" s="228"/>
      <c r="M61" s="228"/>
      <c r="N61" s="228"/>
      <c r="O61" s="228"/>
      <c r="P61" s="228"/>
      <c r="Q61" s="228"/>
      <c r="R61" s="228"/>
      <c r="S61" s="228"/>
      <c r="T61" s="228"/>
      <c r="U61" s="228"/>
      <c r="V61" s="228"/>
      <c r="W61" s="228"/>
      <c r="X61" s="228"/>
      <c r="Y61" s="228"/>
      <c r="Z61" s="228"/>
      <c r="AA61" s="228"/>
      <c r="AB61" s="228"/>
      <c r="AC61" s="228"/>
      <c r="AD61" s="228"/>
    </row>
    <row r="62" ht="34.5" customHeight="1">
      <c r="A62" s="224"/>
      <c r="B62" s="276" t="s">
        <v>705</v>
      </c>
      <c r="C62" s="228"/>
      <c r="D62" s="228"/>
      <c r="E62" s="228"/>
      <c r="F62" s="228"/>
      <c r="G62" s="228"/>
      <c r="H62" s="228"/>
      <c r="I62" s="228"/>
      <c r="J62" s="228"/>
      <c r="K62" s="228"/>
      <c r="L62" s="228"/>
      <c r="M62" s="228"/>
      <c r="N62" s="228"/>
      <c r="O62" s="228"/>
      <c r="P62" s="228"/>
      <c r="Q62" s="228"/>
      <c r="R62" s="228"/>
      <c r="S62" s="228"/>
      <c r="T62" s="228"/>
      <c r="U62" s="228"/>
      <c r="V62" s="228"/>
      <c r="W62" s="228"/>
      <c r="X62" s="228"/>
      <c r="Y62" s="228"/>
      <c r="Z62" s="228"/>
      <c r="AA62" s="228"/>
      <c r="AB62" s="228"/>
      <c r="AC62" s="228"/>
      <c r="AD62" s="228"/>
    </row>
    <row r="63" ht="39.75" customHeight="1">
      <c r="A63" s="263"/>
      <c r="B63" s="277" t="s">
        <v>706</v>
      </c>
      <c r="C63" s="277" t="s">
        <v>707</v>
      </c>
      <c r="D63" s="278" t="s">
        <v>698</v>
      </c>
      <c r="E63" s="278" t="s">
        <v>708</v>
      </c>
      <c r="F63" s="278" t="s">
        <v>709</v>
      </c>
      <c r="G63" s="278" t="s">
        <v>710</v>
      </c>
      <c r="H63" s="279" t="s">
        <v>711</v>
      </c>
      <c r="I63" s="266" t="s">
        <v>713</v>
      </c>
      <c r="J63" s="266" t="s">
        <v>652</v>
      </c>
      <c r="K63" s="263"/>
      <c r="L63" s="263"/>
      <c r="M63" s="263"/>
      <c r="N63" s="263"/>
      <c r="O63" s="263"/>
      <c r="P63" s="263"/>
      <c r="Q63" s="263"/>
      <c r="R63" s="263"/>
      <c r="S63" s="263"/>
      <c r="T63" s="263"/>
      <c r="U63" s="263"/>
      <c r="V63" s="263"/>
      <c r="W63" s="263"/>
      <c r="X63" s="263"/>
      <c r="Y63" s="263"/>
      <c r="Z63" s="263"/>
      <c r="AA63" s="263"/>
      <c r="AB63" s="263"/>
      <c r="AC63" s="263"/>
      <c r="AD63" s="263"/>
    </row>
    <row r="64" ht="34.5" customHeight="1">
      <c r="B64" s="280" t="s">
        <v>826</v>
      </c>
      <c r="C64" s="281" t="s">
        <v>801</v>
      </c>
      <c r="D64" s="269" t="s">
        <v>827</v>
      </c>
      <c r="E64" s="269"/>
      <c r="F64" s="269"/>
      <c r="G64" s="269"/>
      <c r="H64" s="282" t="s">
        <v>685</v>
      </c>
      <c r="I64" s="272"/>
      <c r="J64" s="273" t="s">
        <v>828</v>
      </c>
    </row>
    <row r="65" ht="34.5" customHeight="1">
      <c r="B65" s="280" t="s">
        <v>829</v>
      </c>
      <c r="C65" s="281" t="s">
        <v>801</v>
      </c>
      <c r="D65" s="269" t="s">
        <v>830</v>
      </c>
      <c r="E65" s="269"/>
      <c r="F65" s="269"/>
      <c r="G65" s="269"/>
      <c r="H65" s="282" t="s">
        <v>687</v>
      </c>
      <c r="I65" s="272"/>
      <c r="J65" s="273" t="s">
        <v>831</v>
      </c>
    </row>
    <row r="66" ht="34.5" customHeight="1">
      <c r="B66" s="280" t="s">
        <v>832</v>
      </c>
      <c r="C66" s="281" t="s">
        <v>801</v>
      </c>
      <c r="D66" s="269"/>
      <c r="E66" s="269"/>
      <c r="F66" s="269"/>
      <c r="G66" s="269"/>
      <c r="H66" s="282" t="s">
        <v>690</v>
      </c>
      <c r="I66" s="272"/>
      <c r="J66" s="273"/>
    </row>
    <row r="67" ht="34.5" customHeight="1">
      <c r="B67" s="280" t="s">
        <v>833</v>
      </c>
      <c r="C67" s="281" t="s">
        <v>801</v>
      </c>
      <c r="D67" s="269"/>
      <c r="E67" s="269"/>
      <c r="F67" s="269"/>
      <c r="G67" s="269"/>
      <c r="H67" s="282" t="s">
        <v>692</v>
      </c>
      <c r="I67" s="272"/>
      <c r="J67" s="273"/>
    </row>
    <row r="68" ht="34.5" customHeight="1">
      <c r="B68" s="280" t="s">
        <v>834</v>
      </c>
      <c r="C68" s="281" t="s">
        <v>801</v>
      </c>
      <c r="D68" s="269"/>
      <c r="E68" s="269"/>
      <c r="F68" s="269"/>
      <c r="G68" s="269"/>
      <c r="H68" s="282" t="s">
        <v>685</v>
      </c>
      <c r="I68" s="272"/>
      <c r="J68" s="273"/>
    </row>
    <row r="69" ht="34.5" customHeight="1">
      <c r="B69" s="280" t="s">
        <v>835</v>
      </c>
      <c r="C69" s="281" t="s">
        <v>801</v>
      </c>
      <c r="D69" s="269"/>
      <c r="E69" s="269"/>
      <c r="F69" s="269"/>
      <c r="G69" s="269"/>
      <c r="H69" s="282" t="s">
        <v>685</v>
      </c>
      <c r="I69" s="272"/>
      <c r="J69" s="273"/>
    </row>
    <row r="70" ht="15.75" customHeight="1">
      <c r="B70" s="280" t="s">
        <v>836</v>
      </c>
      <c r="C70" s="281" t="s">
        <v>801</v>
      </c>
      <c r="D70" s="269"/>
      <c r="E70" s="269"/>
      <c r="F70" s="269"/>
      <c r="G70" s="269"/>
      <c r="H70" s="282" t="s">
        <v>685</v>
      </c>
      <c r="I70" s="272"/>
      <c r="J70" s="273"/>
    </row>
    <row r="71" ht="15.75" customHeight="1">
      <c r="B71" s="280" t="s">
        <v>837</v>
      </c>
      <c r="C71" s="281" t="s">
        <v>801</v>
      </c>
      <c r="D71" s="269"/>
      <c r="E71" s="269"/>
      <c r="F71" s="269"/>
      <c r="G71" s="269"/>
      <c r="H71" s="282" t="s">
        <v>685</v>
      </c>
      <c r="I71" s="272"/>
      <c r="J71" s="273"/>
    </row>
    <row r="72" ht="15.75" customHeight="1">
      <c r="B72" s="280" t="s">
        <v>838</v>
      </c>
      <c r="C72" s="281" t="s">
        <v>801</v>
      </c>
      <c r="D72" s="269"/>
      <c r="E72" s="269"/>
      <c r="F72" s="269"/>
      <c r="G72" s="269"/>
      <c r="H72" s="282" t="s">
        <v>685</v>
      </c>
      <c r="I72" s="272"/>
      <c r="J72" s="273"/>
    </row>
    <row r="73" ht="15.75" customHeight="1">
      <c r="B73" s="280" t="s">
        <v>839</v>
      </c>
      <c r="C73" s="281" t="s">
        <v>801</v>
      </c>
      <c r="D73" s="269"/>
      <c r="E73" s="269"/>
      <c r="F73" s="269"/>
      <c r="G73" s="269"/>
      <c r="H73" s="282" t="s">
        <v>685</v>
      </c>
      <c r="I73" s="272"/>
      <c r="J73" s="273"/>
    </row>
    <row r="74" ht="15.75" customHeight="1">
      <c r="B74" s="280" t="s">
        <v>840</v>
      </c>
      <c r="C74" s="281" t="s">
        <v>801</v>
      </c>
      <c r="D74" s="269"/>
      <c r="E74" s="269"/>
      <c r="F74" s="269"/>
      <c r="G74" s="269"/>
      <c r="H74" s="282" t="s">
        <v>685</v>
      </c>
      <c r="I74" s="272"/>
      <c r="J74" s="273"/>
    </row>
    <row r="75" ht="15.75" customHeight="1">
      <c r="B75" s="280" t="s">
        <v>841</v>
      </c>
      <c r="C75" s="281" t="s">
        <v>801</v>
      </c>
      <c r="D75" s="269"/>
      <c r="E75" s="269"/>
      <c r="F75" s="269"/>
      <c r="G75" s="269"/>
      <c r="H75" s="282" t="s">
        <v>687</v>
      </c>
      <c r="I75" s="272"/>
      <c r="J75" s="273"/>
    </row>
    <row r="76" ht="15.75" customHeight="1">
      <c r="B76" s="280" t="s">
        <v>842</v>
      </c>
      <c r="C76" s="281" t="s">
        <v>801</v>
      </c>
      <c r="D76" s="269"/>
      <c r="E76" s="269"/>
      <c r="F76" s="269"/>
      <c r="G76" s="269"/>
      <c r="H76" s="282" t="s">
        <v>687</v>
      </c>
      <c r="I76" s="272"/>
      <c r="J76" s="273"/>
    </row>
    <row r="77" ht="15.75" customHeight="1">
      <c r="B77" s="280" t="s">
        <v>843</v>
      </c>
      <c r="C77" s="281" t="s">
        <v>801</v>
      </c>
      <c r="D77" s="269"/>
      <c r="E77" s="269"/>
      <c r="F77" s="269"/>
      <c r="G77" s="269"/>
      <c r="H77" s="282" t="s">
        <v>687</v>
      </c>
      <c r="I77" s="272"/>
      <c r="J77" s="273"/>
    </row>
    <row r="78" ht="15.75" customHeight="1">
      <c r="B78" s="280" t="s">
        <v>844</v>
      </c>
      <c r="C78" s="281" t="s">
        <v>801</v>
      </c>
      <c r="D78" s="269"/>
      <c r="E78" s="269"/>
      <c r="F78" s="269"/>
      <c r="G78" s="269"/>
      <c r="H78" s="282" t="s">
        <v>687</v>
      </c>
      <c r="I78" s="272"/>
      <c r="J78" s="273"/>
    </row>
    <row r="79" ht="15.75" customHeight="1">
      <c r="B79" s="280" t="s">
        <v>845</v>
      </c>
      <c r="C79" s="281" t="s">
        <v>801</v>
      </c>
      <c r="D79" s="269"/>
      <c r="E79" s="269"/>
      <c r="F79" s="269"/>
      <c r="G79" s="269"/>
      <c r="H79" s="282" t="s">
        <v>687</v>
      </c>
      <c r="I79" s="272"/>
      <c r="J79" s="273"/>
    </row>
    <row r="80" ht="15.75" customHeight="1">
      <c r="B80" s="280" t="s">
        <v>846</v>
      </c>
      <c r="C80" s="281" t="s">
        <v>801</v>
      </c>
      <c r="D80" s="269"/>
      <c r="E80" s="269"/>
      <c r="F80" s="269"/>
      <c r="G80" s="269"/>
      <c r="H80" s="282" t="s">
        <v>687</v>
      </c>
      <c r="I80" s="272"/>
      <c r="J80" s="273"/>
    </row>
    <row r="81" ht="15.75" customHeight="1">
      <c r="B81" s="280" t="s">
        <v>847</v>
      </c>
      <c r="C81" s="281" t="s">
        <v>801</v>
      </c>
      <c r="D81" s="269"/>
      <c r="E81" s="269"/>
      <c r="F81" s="269"/>
      <c r="G81" s="269"/>
      <c r="H81" s="282" t="s">
        <v>687</v>
      </c>
      <c r="I81" s="272"/>
      <c r="J81" s="273"/>
    </row>
    <row r="82" ht="15.75" customHeight="1">
      <c r="B82" s="280" t="s">
        <v>848</v>
      </c>
      <c r="C82" s="281" t="s">
        <v>801</v>
      </c>
      <c r="D82" s="269"/>
      <c r="E82" s="269"/>
      <c r="F82" s="269"/>
      <c r="G82" s="269"/>
      <c r="H82" s="282" t="s">
        <v>687</v>
      </c>
      <c r="I82" s="272"/>
      <c r="J82" s="273"/>
    </row>
    <row r="83" ht="15.75" customHeight="1">
      <c r="B83" s="280" t="s">
        <v>849</v>
      </c>
      <c r="C83" s="281" t="s">
        <v>801</v>
      </c>
      <c r="D83" s="269"/>
      <c r="E83" s="269"/>
      <c r="F83" s="269"/>
      <c r="G83" s="269"/>
      <c r="H83" s="282" t="s">
        <v>687</v>
      </c>
      <c r="I83" s="272"/>
      <c r="J83" s="273"/>
    </row>
    <row r="84" ht="15.75" customHeight="1">
      <c r="B84" s="280" t="s">
        <v>850</v>
      </c>
      <c r="C84" s="281" t="s">
        <v>801</v>
      </c>
      <c r="D84" s="269"/>
      <c r="E84" s="269"/>
      <c r="F84" s="269"/>
      <c r="G84" s="269"/>
      <c r="H84" s="282" t="s">
        <v>687</v>
      </c>
      <c r="I84" s="272"/>
      <c r="J84" s="273"/>
    </row>
    <row r="85" ht="15.75" customHeight="1">
      <c r="B85" s="280" t="s">
        <v>851</v>
      </c>
      <c r="C85" s="281" t="s">
        <v>801</v>
      </c>
      <c r="D85" s="269"/>
      <c r="E85" s="269"/>
      <c r="F85" s="269"/>
      <c r="G85" s="269"/>
      <c r="H85" s="282" t="s">
        <v>687</v>
      </c>
      <c r="I85" s="272"/>
      <c r="J85" s="273"/>
    </row>
    <row r="86" ht="15.75" customHeight="1">
      <c r="B86" s="280" t="s">
        <v>852</v>
      </c>
      <c r="C86" s="281" t="s">
        <v>801</v>
      </c>
      <c r="D86" s="269"/>
      <c r="E86" s="269"/>
      <c r="F86" s="269"/>
      <c r="G86" s="269"/>
      <c r="H86" s="282" t="s">
        <v>687</v>
      </c>
      <c r="I86" s="272"/>
      <c r="J86" s="273"/>
    </row>
    <row r="87" ht="15.75" customHeight="1">
      <c r="B87" s="280" t="s">
        <v>853</v>
      </c>
      <c r="C87" s="281" t="s">
        <v>801</v>
      </c>
      <c r="D87" s="269"/>
      <c r="E87" s="269"/>
      <c r="F87" s="269"/>
      <c r="G87" s="269"/>
      <c r="H87" s="282" t="s">
        <v>690</v>
      </c>
      <c r="I87" s="272"/>
      <c r="J87" s="273"/>
    </row>
    <row r="88" ht="15.75" customHeight="1">
      <c r="B88" s="280" t="s">
        <v>854</v>
      </c>
      <c r="C88" s="281" t="s">
        <v>801</v>
      </c>
      <c r="D88" s="269"/>
      <c r="E88" s="269"/>
      <c r="F88" s="269"/>
      <c r="G88" s="269"/>
      <c r="H88" s="282" t="s">
        <v>690</v>
      </c>
      <c r="I88" s="272"/>
      <c r="J88" s="273"/>
    </row>
    <row r="89" ht="15.75" customHeight="1">
      <c r="B89" s="280" t="s">
        <v>855</v>
      </c>
      <c r="C89" s="281" t="s">
        <v>801</v>
      </c>
      <c r="D89" s="269"/>
      <c r="E89" s="269"/>
      <c r="F89" s="269"/>
      <c r="G89" s="269"/>
      <c r="H89" s="282" t="s">
        <v>690</v>
      </c>
      <c r="I89" s="272"/>
      <c r="J89" s="273"/>
    </row>
    <row r="90" ht="15.75" customHeight="1">
      <c r="B90" s="280" t="s">
        <v>856</v>
      </c>
      <c r="C90" s="281" t="s">
        <v>801</v>
      </c>
      <c r="D90" s="269"/>
      <c r="E90" s="269"/>
      <c r="F90" s="269"/>
      <c r="G90" s="269"/>
      <c r="H90" s="282" t="s">
        <v>690</v>
      </c>
      <c r="I90" s="272"/>
      <c r="J90" s="273"/>
    </row>
    <row r="91" ht="15.75" customHeight="1">
      <c r="B91" s="280" t="s">
        <v>857</v>
      </c>
      <c r="C91" s="281" t="s">
        <v>801</v>
      </c>
      <c r="D91" s="269"/>
      <c r="E91" s="269"/>
      <c r="F91" s="269"/>
      <c r="G91" s="269"/>
      <c r="H91" s="282" t="s">
        <v>690</v>
      </c>
      <c r="I91" s="272"/>
      <c r="J91" s="273"/>
    </row>
    <row r="92" ht="15.75" customHeight="1">
      <c r="B92" s="280" t="s">
        <v>858</v>
      </c>
      <c r="C92" s="281" t="s">
        <v>801</v>
      </c>
      <c r="D92" s="269"/>
      <c r="E92" s="269"/>
      <c r="F92" s="269"/>
      <c r="G92" s="269"/>
      <c r="H92" s="282" t="s">
        <v>690</v>
      </c>
      <c r="I92" s="272"/>
      <c r="J92" s="273"/>
    </row>
    <row r="93" ht="15.75" customHeight="1">
      <c r="B93" s="280" t="s">
        <v>859</v>
      </c>
      <c r="C93" s="281" t="s">
        <v>801</v>
      </c>
      <c r="D93" s="269"/>
      <c r="E93" s="269"/>
      <c r="F93" s="269"/>
      <c r="G93" s="269"/>
      <c r="H93" s="282" t="s">
        <v>690</v>
      </c>
      <c r="I93" s="272"/>
      <c r="J93" s="273"/>
    </row>
    <row r="94" ht="15.75" customHeight="1">
      <c r="B94" s="280" t="s">
        <v>860</v>
      </c>
      <c r="C94" s="281" t="s">
        <v>801</v>
      </c>
      <c r="D94" s="269"/>
      <c r="E94" s="269"/>
      <c r="F94" s="269"/>
      <c r="G94" s="269"/>
      <c r="H94" s="282" t="s">
        <v>690</v>
      </c>
      <c r="I94" s="272"/>
      <c r="J94" s="273"/>
    </row>
    <row r="95" ht="15.75" customHeight="1">
      <c r="B95" s="280" t="s">
        <v>861</v>
      </c>
      <c r="C95" s="281" t="s">
        <v>801</v>
      </c>
      <c r="D95" s="269"/>
      <c r="E95" s="269"/>
      <c r="F95" s="269"/>
      <c r="G95" s="269"/>
      <c r="H95" s="282" t="s">
        <v>690</v>
      </c>
      <c r="I95" s="272"/>
      <c r="J95" s="273"/>
    </row>
    <row r="96" ht="15.75" customHeight="1">
      <c r="B96" s="280" t="s">
        <v>862</v>
      </c>
      <c r="C96" s="281" t="s">
        <v>801</v>
      </c>
      <c r="D96" s="269"/>
      <c r="E96" s="269"/>
      <c r="F96" s="269"/>
      <c r="G96" s="269"/>
      <c r="H96" s="282" t="s">
        <v>690</v>
      </c>
      <c r="I96" s="272"/>
      <c r="J96" s="273"/>
    </row>
    <row r="97" ht="15.75" customHeight="1">
      <c r="B97" s="280" t="s">
        <v>863</v>
      </c>
      <c r="C97" s="281" t="s">
        <v>801</v>
      </c>
      <c r="D97" s="269"/>
      <c r="E97" s="269"/>
      <c r="F97" s="269"/>
      <c r="G97" s="269"/>
      <c r="H97" s="282" t="s">
        <v>690</v>
      </c>
      <c r="I97" s="272"/>
      <c r="J97" s="273"/>
    </row>
    <row r="98" ht="15.75" customHeight="1">
      <c r="B98" s="280" t="s">
        <v>864</v>
      </c>
      <c r="C98" s="281" t="s">
        <v>801</v>
      </c>
      <c r="D98" s="269"/>
      <c r="E98" s="269"/>
      <c r="F98" s="269"/>
      <c r="G98" s="269"/>
      <c r="H98" s="282" t="s">
        <v>690</v>
      </c>
      <c r="I98" s="272"/>
      <c r="J98" s="273"/>
    </row>
    <row r="99" ht="15.75" customHeight="1">
      <c r="B99" s="280" t="s">
        <v>865</v>
      </c>
      <c r="C99" s="281" t="s">
        <v>801</v>
      </c>
      <c r="D99" s="269"/>
      <c r="E99" s="269"/>
      <c r="F99" s="269"/>
      <c r="G99" s="269"/>
      <c r="H99" s="282" t="s">
        <v>690</v>
      </c>
      <c r="I99" s="272"/>
      <c r="J99" s="273"/>
    </row>
    <row r="100" ht="15.75" customHeight="1">
      <c r="B100" s="280" t="s">
        <v>866</v>
      </c>
      <c r="C100" s="281" t="s">
        <v>801</v>
      </c>
      <c r="D100" s="269"/>
      <c r="E100" s="269"/>
      <c r="F100" s="269"/>
      <c r="G100" s="269"/>
      <c r="H100" s="282" t="s">
        <v>690</v>
      </c>
      <c r="I100" s="272"/>
      <c r="J100" s="273"/>
    </row>
    <row r="101" ht="15.75" customHeight="1">
      <c r="B101" s="280" t="s">
        <v>867</v>
      </c>
      <c r="C101" s="281" t="s">
        <v>801</v>
      </c>
      <c r="D101" s="269"/>
      <c r="E101" s="269"/>
      <c r="F101" s="269"/>
      <c r="G101" s="269"/>
      <c r="H101" s="282" t="s">
        <v>692</v>
      </c>
      <c r="I101" s="272"/>
      <c r="J101" s="273"/>
    </row>
    <row r="102" ht="15.75" customHeight="1">
      <c r="B102" s="280" t="s">
        <v>868</v>
      </c>
      <c r="C102" s="281" t="s">
        <v>801</v>
      </c>
      <c r="D102" s="269"/>
      <c r="E102" s="269"/>
      <c r="F102" s="269"/>
      <c r="G102" s="269"/>
      <c r="H102" s="282" t="s">
        <v>692</v>
      </c>
      <c r="I102" s="272"/>
      <c r="J102" s="273"/>
    </row>
    <row r="103" ht="15.75" customHeight="1">
      <c r="B103" s="280" t="s">
        <v>869</v>
      </c>
      <c r="C103" s="281" t="s">
        <v>801</v>
      </c>
      <c r="D103" s="269"/>
      <c r="E103" s="269"/>
      <c r="F103" s="269"/>
      <c r="G103" s="269"/>
      <c r="H103" s="282" t="s">
        <v>692</v>
      </c>
      <c r="I103" s="272"/>
      <c r="J103" s="273"/>
    </row>
    <row r="104" ht="15.75" customHeight="1">
      <c r="B104" s="280" t="s">
        <v>870</v>
      </c>
      <c r="C104" s="281" t="s">
        <v>801</v>
      </c>
      <c r="D104" s="269"/>
      <c r="E104" s="269"/>
      <c r="F104" s="269"/>
      <c r="G104" s="269"/>
      <c r="H104" s="282" t="s">
        <v>692</v>
      </c>
      <c r="I104" s="272"/>
      <c r="J104" s="273"/>
    </row>
    <row r="105" ht="15.75" customHeight="1">
      <c r="B105" s="280" t="s">
        <v>871</v>
      </c>
      <c r="C105" s="281" t="s">
        <v>801</v>
      </c>
      <c r="D105" s="269"/>
      <c r="E105" s="269"/>
      <c r="F105" s="269"/>
      <c r="G105" s="269"/>
      <c r="H105" s="282" t="s">
        <v>687</v>
      </c>
      <c r="I105" s="272"/>
      <c r="J105" s="273"/>
    </row>
    <row r="106" ht="15.75" customHeight="1">
      <c r="B106" s="280" t="s">
        <v>872</v>
      </c>
      <c r="C106" s="281" t="s">
        <v>801</v>
      </c>
      <c r="D106" s="269"/>
      <c r="E106" s="269"/>
      <c r="F106" s="269"/>
      <c r="G106" s="269"/>
      <c r="H106" s="282" t="s">
        <v>687</v>
      </c>
      <c r="I106" s="272"/>
      <c r="J106" s="273"/>
    </row>
    <row r="107" ht="15.75" customHeight="1">
      <c r="B107" s="280" t="s">
        <v>873</v>
      </c>
      <c r="C107" s="281" t="s">
        <v>801</v>
      </c>
      <c r="D107" s="269"/>
      <c r="E107" s="269"/>
      <c r="F107" s="269"/>
      <c r="G107" s="269"/>
      <c r="H107" s="282" t="s">
        <v>687</v>
      </c>
      <c r="I107" s="272"/>
      <c r="J107" s="273"/>
    </row>
    <row r="108" ht="15.75" customHeight="1">
      <c r="B108" s="280" t="s">
        <v>874</v>
      </c>
      <c r="C108" s="281" t="s">
        <v>801</v>
      </c>
      <c r="D108" s="269"/>
      <c r="E108" s="269"/>
      <c r="F108" s="269"/>
      <c r="G108" s="269"/>
      <c r="H108" s="282" t="s">
        <v>687</v>
      </c>
      <c r="I108" s="272"/>
      <c r="J108" s="273"/>
    </row>
    <row r="109" ht="15.75" customHeight="1">
      <c r="B109" s="280" t="s">
        <v>875</v>
      </c>
      <c r="C109" s="281" t="s">
        <v>801</v>
      </c>
      <c r="D109" s="269"/>
      <c r="E109" s="269"/>
      <c r="F109" s="269"/>
      <c r="G109" s="269"/>
      <c r="H109" s="282" t="s">
        <v>687</v>
      </c>
      <c r="I109" s="272"/>
      <c r="J109" s="273"/>
    </row>
    <row r="110" ht="15.75" customHeight="1">
      <c r="B110" s="280" t="s">
        <v>876</v>
      </c>
      <c r="C110" s="281" t="s">
        <v>801</v>
      </c>
      <c r="D110" s="269"/>
      <c r="E110" s="269"/>
      <c r="F110" s="269"/>
      <c r="G110" s="269"/>
      <c r="H110" s="282" t="s">
        <v>687</v>
      </c>
      <c r="I110" s="272"/>
      <c r="J110" s="273"/>
    </row>
    <row r="111" ht="15.75" customHeight="1">
      <c r="B111" s="280" t="s">
        <v>877</v>
      </c>
      <c r="C111" s="281" t="s">
        <v>801</v>
      </c>
      <c r="D111" s="269"/>
      <c r="E111" s="269"/>
      <c r="F111" s="269"/>
      <c r="G111" s="269"/>
      <c r="H111" s="282" t="s">
        <v>687</v>
      </c>
      <c r="I111" s="272"/>
      <c r="J111" s="273"/>
    </row>
    <row r="112" ht="15.75" customHeight="1">
      <c r="B112" s="280" t="s">
        <v>878</v>
      </c>
      <c r="C112" s="281" t="s">
        <v>801</v>
      </c>
      <c r="D112" s="269"/>
      <c r="E112" s="269"/>
      <c r="F112" s="269"/>
      <c r="G112" s="269"/>
      <c r="H112" s="282" t="s">
        <v>687</v>
      </c>
      <c r="I112" s="272"/>
      <c r="J112" s="273"/>
    </row>
    <row r="113" ht="15.75" customHeight="1">
      <c r="B113" s="280" t="s">
        <v>879</v>
      </c>
      <c r="C113" s="281" t="s">
        <v>801</v>
      </c>
      <c r="D113" s="269"/>
      <c r="E113" s="269"/>
      <c r="F113" s="269"/>
      <c r="G113" s="269"/>
      <c r="H113" s="282" t="s">
        <v>685</v>
      </c>
      <c r="I113" s="272"/>
      <c r="J113" s="273"/>
    </row>
    <row r="114" ht="15.75" customHeight="1">
      <c r="B114" s="280" t="s">
        <v>880</v>
      </c>
      <c r="C114" s="281" t="s">
        <v>801</v>
      </c>
      <c r="D114" s="269"/>
      <c r="E114" s="269"/>
      <c r="F114" s="269"/>
      <c r="G114" s="269"/>
      <c r="H114" s="282" t="s">
        <v>685</v>
      </c>
      <c r="I114" s="272"/>
      <c r="J114" s="273"/>
    </row>
    <row r="115" ht="15.75" customHeight="1">
      <c r="B115" s="280" t="s">
        <v>881</v>
      </c>
      <c r="C115" s="281" t="s">
        <v>801</v>
      </c>
      <c r="D115" s="269"/>
      <c r="E115" s="269"/>
      <c r="F115" s="269"/>
      <c r="G115" s="269"/>
      <c r="H115" s="282" t="s">
        <v>685</v>
      </c>
      <c r="I115" s="272"/>
      <c r="J115" s="273"/>
    </row>
    <row r="116" ht="15.75" customHeight="1">
      <c r="B116" s="280" t="s">
        <v>882</v>
      </c>
      <c r="C116" s="281" t="s">
        <v>801</v>
      </c>
      <c r="D116" s="269"/>
      <c r="E116" s="269"/>
      <c r="F116" s="269"/>
      <c r="G116" s="269"/>
      <c r="H116" s="282" t="s">
        <v>685</v>
      </c>
      <c r="I116" s="272"/>
      <c r="J116" s="273"/>
    </row>
    <row r="117" ht="15.75" customHeight="1">
      <c r="B117" s="280" t="s">
        <v>883</v>
      </c>
      <c r="C117" s="281" t="s">
        <v>801</v>
      </c>
      <c r="D117" s="269"/>
      <c r="E117" s="269"/>
      <c r="F117" s="269"/>
      <c r="G117" s="269"/>
      <c r="H117" s="282" t="s">
        <v>685</v>
      </c>
      <c r="I117" s="272"/>
      <c r="J117" s="273"/>
    </row>
    <row r="118" ht="15.75" customHeight="1">
      <c r="B118" s="280" t="s">
        <v>884</v>
      </c>
      <c r="C118" s="281" t="s">
        <v>801</v>
      </c>
      <c r="D118" s="269"/>
      <c r="E118" s="269"/>
      <c r="F118" s="269"/>
      <c r="G118" s="269"/>
      <c r="H118" s="282" t="s">
        <v>685</v>
      </c>
      <c r="I118" s="272"/>
      <c r="J118" s="273"/>
    </row>
    <row r="119" ht="15.75" customHeight="1">
      <c r="B119" s="280" t="s">
        <v>885</v>
      </c>
      <c r="C119" s="281" t="s">
        <v>801</v>
      </c>
      <c r="D119" s="269"/>
      <c r="E119" s="269"/>
      <c r="F119" s="269"/>
      <c r="G119" s="269"/>
      <c r="H119" s="282" t="s">
        <v>685</v>
      </c>
      <c r="I119" s="272"/>
      <c r="J119" s="273"/>
    </row>
    <row r="120" ht="15.75" customHeight="1">
      <c r="B120" s="280" t="s">
        <v>886</v>
      </c>
      <c r="C120" s="281" t="s">
        <v>801</v>
      </c>
      <c r="D120" s="269"/>
      <c r="E120" s="269"/>
      <c r="F120" s="269"/>
      <c r="G120" s="269"/>
      <c r="H120" s="282" t="s">
        <v>685</v>
      </c>
      <c r="I120" s="272"/>
      <c r="J120" s="273"/>
    </row>
    <row r="121" ht="15.75" customHeight="1">
      <c r="B121" s="280" t="s">
        <v>887</v>
      </c>
      <c r="C121" s="281" t="s">
        <v>801</v>
      </c>
      <c r="D121" s="269"/>
      <c r="E121" s="269"/>
      <c r="F121" s="269"/>
      <c r="G121" s="269"/>
      <c r="H121" s="282" t="s">
        <v>685</v>
      </c>
      <c r="I121" s="272"/>
      <c r="J121" s="273"/>
    </row>
    <row r="122" ht="15.75" customHeight="1">
      <c r="B122" s="280" t="s">
        <v>888</v>
      </c>
      <c r="C122" s="281" t="s">
        <v>801</v>
      </c>
      <c r="D122" s="269"/>
      <c r="E122" s="269"/>
      <c r="F122" s="269"/>
      <c r="G122" s="269"/>
      <c r="H122" s="282" t="s">
        <v>685</v>
      </c>
      <c r="I122" s="272"/>
      <c r="J122" s="273"/>
    </row>
    <row r="123" ht="15.75" customHeight="1">
      <c r="B123" s="280" t="s">
        <v>889</v>
      </c>
      <c r="C123" s="281" t="s">
        <v>801</v>
      </c>
      <c r="D123" s="269"/>
      <c r="E123" s="269"/>
      <c r="F123" s="269"/>
      <c r="G123" s="269"/>
      <c r="H123" s="282" t="s">
        <v>685</v>
      </c>
      <c r="I123" s="272"/>
      <c r="J123" s="273"/>
    </row>
    <row r="124" ht="15.75" customHeight="1">
      <c r="B124" s="280" t="s">
        <v>890</v>
      </c>
      <c r="C124" s="281" t="s">
        <v>801</v>
      </c>
      <c r="D124" s="269"/>
      <c r="E124" s="269"/>
      <c r="F124" s="269"/>
      <c r="G124" s="269"/>
      <c r="H124" s="282" t="s">
        <v>685</v>
      </c>
      <c r="I124" s="272"/>
      <c r="J124" s="273"/>
    </row>
    <row r="125" ht="15.75" customHeight="1">
      <c r="B125" s="280" t="s">
        <v>891</v>
      </c>
      <c r="C125" s="281" t="s">
        <v>801</v>
      </c>
      <c r="D125" s="269"/>
      <c r="E125" s="269"/>
      <c r="F125" s="269"/>
      <c r="G125" s="269"/>
      <c r="H125" s="282" t="s">
        <v>685</v>
      </c>
      <c r="I125" s="272"/>
      <c r="J125" s="273"/>
    </row>
    <row r="126" ht="15.75" customHeight="1">
      <c r="B126" s="280" t="s">
        <v>892</v>
      </c>
      <c r="C126" s="281" t="s">
        <v>801</v>
      </c>
      <c r="D126" s="269"/>
      <c r="E126" s="269"/>
      <c r="F126" s="269"/>
      <c r="G126" s="269"/>
      <c r="H126" s="282" t="s">
        <v>685</v>
      </c>
      <c r="I126" s="272"/>
      <c r="J126" s="273"/>
    </row>
    <row r="127" ht="15.75" customHeight="1">
      <c r="B127" s="280" t="s">
        <v>893</v>
      </c>
      <c r="C127" s="281" t="s">
        <v>801</v>
      </c>
      <c r="D127" s="269"/>
      <c r="E127" s="269"/>
      <c r="F127" s="269"/>
      <c r="G127" s="269"/>
      <c r="H127" s="282" t="s">
        <v>685</v>
      </c>
      <c r="I127" s="272"/>
      <c r="J127" s="273"/>
    </row>
    <row r="128" ht="15.75" customHeight="1">
      <c r="B128" s="280" t="s">
        <v>894</v>
      </c>
      <c r="C128" s="281" t="s">
        <v>801</v>
      </c>
      <c r="D128" s="269"/>
      <c r="E128" s="269"/>
      <c r="F128" s="269"/>
      <c r="G128" s="269"/>
      <c r="H128" s="282" t="s">
        <v>685</v>
      </c>
      <c r="I128" s="272"/>
      <c r="J128" s="273"/>
    </row>
    <row r="129" ht="15.75" customHeight="1">
      <c r="B129" s="280" t="s">
        <v>895</v>
      </c>
      <c r="C129" s="281" t="s">
        <v>801</v>
      </c>
      <c r="D129" s="269"/>
      <c r="E129" s="269"/>
      <c r="F129" s="269"/>
      <c r="G129" s="269"/>
      <c r="H129" s="282" t="s">
        <v>685</v>
      </c>
      <c r="I129" s="272"/>
      <c r="J129" s="273"/>
    </row>
    <row r="130" ht="15.75" customHeight="1">
      <c r="B130" s="280" t="s">
        <v>896</v>
      </c>
      <c r="C130" s="281" t="s">
        <v>801</v>
      </c>
      <c r="D130" s="269"/>
      <c r="E130" s="269"/>
      <c r="F130" s="269"/>
      <c r="G130" s="269"/>
      <c r="H130" s="282" t="s">
        <v>685</v>
      </c>
      <c r="I130" s="272"/>
      <c r="J130" s="273"/>
    </row>
    <row r="131" ht="15.75" customHeight="1">
      <c r="B131" s="280" t="s">
        <v>897</v>
      </c>
      <c r="C131" s="281" t="s">
        <v>801</v>
      </c>
      <c r="D131" s="269"/>
      <c r="E131" s="269"/>
      <c r="F131" s="269"/>
      <c r="G131" s="269"/>
      <c r="H131" s="282" t="s">
        <v>685</v>
      </c>
      <c r="I131" s="272"/>
      <c r="J131" s="273"/>
    </row>
    <row r="132" ht="15.75" customHeight="1">
      <c r="B132" s="280" t="s">
        <v>898</v>
      </c>
      <c r="C132" s="281" t="s">
        <v>801</v>
      </c>
      <c r="D132" s="269"/>
      <c r="E132" s="269"/>
      <c r="F132" s="269"/>
      <c r="G132" s="269"/>
      <c r="H132" s="282" t="s">
        <v>685</v>
      </c>
      <c r="I132" s="272"/>
      <c r="J132" s="273"/>
    </row>
    <row r="133" ht="15.75" customHeight="1">
      <c r="B133" s="280" t="s">
        <v>899</v>
      </c>
      <c r="C133" s="281" t="s">
        <v>801</v>
      </c>
      <c r="D133" s="269"/>
      <c r="E133" s="269"/>
      <c r="F133" s="269"/>
      <c r="G133" s="269"/>
      <c r="H133" s="282" t="s">
        <v>685</v>
      </c>
      <c r="I133" s="272"/>
      <c r="J133" s="273"/>
    </row>
    <row r="134" ht="15.75" customHeight="1">
      <c r="B134" s="280" t="s">
        <v>900</v>
      </c>
      <c r="C134" s="281" t="s">
        <v>801</v>
      </c>
      <c r="D134" s="269"/>
      <c r="E134" s="269"/>
      <c r="F134" s="269"/>
      <c r="G134" s="269"/>
      <c r="H134" s="282" t="s">
        <v>685</v>
      </c>
      <c r="I134" s="272"/>
      <c r="J134" s="273"/>
    </row>
    <row r="135" ht="15.75" customHeight="1">
      <c r="B135" s="280" t="s">
        <v>901</v>
      </c>
      <c r="C135" s="281" t="s">
        <v>801</v>
      </c>
      <c r="D135" s="269"/>
      <c r="E135" s="269"/>
      <c r="F135" s="269"/>
      <c r="G135" s="269"/>
      <c r="H135" s="282" t="s">
        <v>685</v>
      </c>
      <c r="I135" s="272"/>
      <c r="J135" s="273"/>
    </row>
    <row r="136" ht="15.75" customHeight="1">
      <c r="B136" s="280" t="s">
        <v>902</v>
      </c>
      <c r="C136" s="281" t="s">
        <v>801</v>
      </c>
      <c r="D136" s="269"/>
      <c r="E136" s="269"/>
      <c r="F136" s="269"/>
      <c r="G136" s="269"/>
      <c r="H136" s="282" t="s">
        <v>685</v>
      </c>
      <c r="I136" s="272"/>
      <c r="J136" s="273"/>
    </row>
    <row r="137" ht="15.75" customHeight="1">
      <c r="B137" s="280" t="s">
        <v>903</v>
      </c>
      <c r="C137" s="281" t="s">
        <v>801</v>
      </c>
      <c r="D137" s="269"/>
      <c r="E137" s="269"/>
      <c r="F137" s="269"/>
      <c r="G137" s="269"/>
      <c r="H137" s="282" t="s">
        <v>685</v>
      </c>
      <c r="I137" s="272"/>
      <c r="J137" s="273"/>
    </row>
    <row r="138" ht="15.75" customHeight="1">
      <c r="B138" s="280" t="s">
        <v>904</v>
      </c>
      <c r="C138" s="281" t="s">
        <v>801</v>
      </c>
      <c r="D138" s="269"/>
      <c r="E138" s="269"/>
      <c r="F138" s="269"/>
      <c r="G138" s="269"/>
      <c r="H138" s="282" t="s">
        <v>685</v>
      </c>
      <c r="I138" s="272"/>
      <c r="J138" s="273"/>
    </row>
    <row r="139" ht="15.75" customHeight="1">
      <c r="B139" s="280" t="s">
        <v>905</v>
      </c>
      <c r="C139" s="281" t="s">
        <v>801</v>
      </c>
      <c r="D139" s="269"/>
      <c r="E139" s="269"/>
      <c r="F139" s="269"/>
      <c r="G139" s="269"/>
      <c r="H139" s="282" t="s">
        <v>685</v>
      </c>
      <c r="I139" s="272"/>
      <c r="J139" s="273"/>
    </row>
    <row r="140" ht="15.75" customHeight="1">
      <c r="B140" s="280" t="s">
        <v>906</v>
      </c>
      <c r="C140" s="281" t="s">
        <v>801</v>
      </c>
      <c r="D140" s="269"/>
      <c r="E140" s="269"/>
      <c r="F140" s="269"/>
      <c r="G140" s="269"/>
      <c r="H140" s="282" t="s">
        <v>685</v>
      </c>
      <c r="I140" s="272"/>
      <c r="J140" s="273"/>
    </row>
    <row r="141" ht="15.75" customHeight="1">
      <c r="B141" s="280" t="s">
        <v>907</v>
      </c>
      <c r="C141" s="281" t="s">
        <v>801</v>
      </c>
      <c r="D141" s="269"/>
      <c r="E141" s="269"/>
      <c r="F141" s="269"/>
      <c r="G141" s="269"/>
      <c r="H141" s="282" t="s">
        <v>685</v>
      </c>
      <c r="I141" s="272"/>
      <c r="J141" s="273"/>
    </row>
    <row r="142" ht="15.75" customHeight="1">
      <c r="B142" s="280" t="s">
        <v>908</v>
      </c>
      <c r="C142" s="281" t="s">
        <v>801</v>
      </c>
      <c r="D142" s="269"/>
      <c r="E142" s="269"/>
      <c r="F142" s="269"/>
      <c r="G142" s="269"/>
      <c r="H142" s="282" t="s">
        <v>685</v>
      </c>
      <c r="I142" s="272"/>
      <c r="J142" s="273"/>
    </row>
    <row r="143" ht="15.75" customHeight="1">
      <c r="B143" s="280" t="s">
        <v>909</v>
      </c>
      <c r="C143" s="281" t="s">
        <v>801</v>
      </c>
      <c r="D143" s="269"/>
      <c r="E143" s="269"/>
      <c r="F143" s="269"/>
      <c r="G143" s="269"/>
      <c r="H143" s="282" t="s">
        <v>685</v>
      </c>
      <c r="I143" s="272"/>
      <c r="J143" s="273"/>
    </row>
    <row r="144" ht="15.75" customHeight="1">
      <c r="B144" s="280" t="s">
        <v>910</v>
      </c>
      <c r="C144" s="281" t="s">
        <v>801</v>
      </c>
      <c r="D144" s="269"/>
      <c r="E144" s="269"/>
      <c r="F144" s="269"/>
      <c r="G144" s="269"/>
      <c r="H144" s="282" t="s">
        <v>685</v>
      </c>
      <c r="I144" s="272"/>
      <c r="J144" s="273"/>
    </row>
    <row r="145" ht="15.75" customHeight="1">
      <c r="B145" s="280" t="s">
        <v>911</v>
      </c>
      <c r="C145" s="281" t="s">
        <v>801</v>
      </c>
      <c r="D145" s="269"/>
      <c r="E145" s="269"/>
      <c r="F145" s="269"/>
      <c r="G145" s="269"/>
      <c r="H145" s="282" t="s">
        <v>685</v>
      </c>
      <c r="I145" s="272"/>
      <c r="J145" s="273"/>
    </row>
    <row r="146" ht="15.75" customHeight="1">
      <c r="B146" s="280" t="s">
        <v>912</v>
      </c>
      <c r="C146" s="281" t="s">
        <v>801</v>
      </c>
      <c r="D146" s="269"/>
      <c r="E146" s="269"/>
      <c r="F146" s="269"/>
      <c r="G146" s="269"/>
      <c r="H146" s="282" t="s">
        <v>685</v>
      </c>
      <c r="I146" s="272"/>
      <c r="J146" s="273"/>
    </row>
    <row r="147" ht="15.75" customHeight="1">
      <c r="B147" s="280" t="s">
        <v>913</v>
      </c>
      <c r="C147" s="281" t="s">
        <v>801</v>
      </c>
      <c r="D147" s="269"/>
      <c r="E147" s="269"/>
      <c r="F147" s="269"/>
      <c r="G147" s="269"/>
      <c r="H147" s="282" t="s">
        <v>685</v>
      </c>
      <c r="I147" s="272"/>
      <c r="J147" s="273"/>
    </row>
    <row r="148" ht="15.75" customHeight="1">
      <c r="B148" s="280" t="s">
        <v>914</v>
      </c>
      <c r="C148" s="281" t="s">
        <v>801</v>
      </c>
      <c r="D148" s="269"/>
      <c r="E148" s="269"/>
      <c r="F148" s="269"/>
      <c r="G148" s="269"/>
      <c r="H148" s="282" t="s">
        <v>685</v>
      </c>
      <c r="I148" s="272"/>
      <c r="J148" s="273"/>
    </row>
    <row r="149" ht="15.75" customHeight="1">
      <c r="B149" s="280" t="s">
        <v>915</v>
      </c>
      <c r="C149" s="281" t="s">
        <v>801</v>
      </c>
      <c r="D149" s="269"/>
      <c r="E149" s="269"/>
      <c r="F149" s="269"/>
      <c r="G149" s="269"/>
      <c r="H149" s="282" t="s">
        <v>685</v>
      </c>
      <c r="I149" s="272"/>
      <c r="J149" s="273"/>
    </row>
    <row r="150" ht="15.75" customHeight="1">
      <c r="B150" s="280" t="s">
        <v>916</v>
      </c>
      <c r="C150" s="281" t="s">
        <v>801</v>
      </c>
      <c r="D150" s="269"/>
      <c r="E150" s="269"/>
      <c r="F150" s="269"/>
      <c r="G150" s="269"/>
      <c r="H150" s="282" t="s">
        <v>685</v>
      </c>
      <c r="I150" s="272"/>
      <c r="J150" s="273"/>
    </row>
    <row r="151" ht="15.75" customHeight="1">
      <c r="B151" s="280" t="s">
        <v>917</v>
      </c>
      <c r="C151" s="281" t="s">
        <v>801</v>
      </c>
      <c r="D151" s="269"/>
      <c r="E151" s="269"/>
      <c r="F151" s="269"/>
      <c r="G151" s="269"/>
      <c r="H151" s="282" t="s">
        <v>685</v>
      </c>
      <c r="I151" s="272"/>
      <c r="J151" s="273"/>
    </row>
    <row r="152" ht="15.75" customHeight="1">
      <c r="B152" s="280" t="s">
        <v>918</v>
      </c>
      <c r="C152" s="281" t="s">
        <v>801</v>
      </c>
      <c r="D152" s="269"/>
      <c r="E152" s="269"/>
      <c r="F152" s="269"/>
      <c r="G152" s="269"/>
      <c r="H152" s="282" t="s">
        <v>685</v>
      </c>
      <c r="I152" s="272"/>
      <c r="J152" s="273"/>
    </row>
    <row r="153" ht="15.75" customHeight="1">
      <c r="B153" s="280" t="s">
        <v>919</v>
      </c>
      <c r="C153" s="281" t="s">
        <v>801</v>
      </c>
      <c r="D153" s="269"/>
      <c r="E153" s="269"/>
      <c r="F153" s="269"/>
      <c r="G153" s="269"/>
      <c r="H153" s="282" t="s">
        <v>685</v>
      </c>
      <c r="I153" s="272"/>
      <c r="J153" s="273"/>
    </row>
    <row r="154" ht="15.75" customHeight="1">
      <c r="B154" s="280" t="s">
        <v>920</v>
      </c>
      <c r="C154" s="281" t="s">
        <v>801</v>
      </c>
      <c r="D154" s="269"/>
      <c r="E154" s="269"/>
      <c r="F154" s="269"/>
      <c r="G154" s="269"/>
      <c r="H154" s="282" t="s">
        <v>685</v>
      </c>
      <c r="I154" s="272"/>
      <c r="J154" s="273"/>
    </row>
    <row r="155" ht="15.75" customHeight="1">
      <c r="B155" s="280" t="s">
        <v>921</v>
      </c>
      <c r="C155" s="281" t="s">
        <v>801</v>
      </c>
      <c r="D155" s="269"/>
      <c r="E155" s="269"/>
      <c r="F155" s="269"/>
      <c r="G155" s="269"/>
      <c r="H155" s="282" t="s">
        <v>685</v>
      </c>
      <c r="I155" s="272"/>
      <c r="J155" s="273"/>
    </row>
    <row r="156" ht="15.75" customHeight="1">
      <c r="B156" s="280" t="s">
        <v>922</v>
      </c>
      <c r="C156" s="281" t="s">
        <v>801</v>
      </c>
      <c r="D156" s="269"/>
      <c r="E156" s="269"/>
      <c r="F156" s="269"/>
      <c r="G156" s="269"/>
      <c r="H156" s="282" t="s">
        <v>685</v>
      </c>
      <c r="I156" s="272"/>
      <c r="J156" s="273"/>
    </row>
    <row r="157" ht="15.75" customHeight="1">
      <c r="B157" s="280" t="s">
        <v>923</v>
      </c>
      <c r="C157" s="281" t="s">
        <v>801</v>
      </c>
      <c r="D157" s="269"/>
      <c r="E157" s="269"/>
      <c r="F157" s="269"/>
      <c r="G157" s="269"/>
      <c r="H157" s="282" t="s">
        <v>685</v>
      </c>
      <c r="I157" s="272"/>
      <c r="J157" s="273"/>
    </row>
    <row r="158" ht="15.75" customHeight="1">
      <c r="B158" s="280" t="s">
        <v>924</v>
      </c>
      <c r="C158" s="281" t="s">
        <v>801</v>
      </c>
      <c r="D158" s="269"/>
      <c r="E158" s="269"/>
      <c r="F158" s="269"/>
      <c r="G158" s="269"/>
      <c r="H158" s="282" t="s">
        <v>685</v>
      </c>
      <c r="I158" s="272"/>
      <c r="J158" s="273"/>
    </row>
    <row r="159" ht="15.75" customHeight="1">
      <c r="B159" s="280" t="s">
        <v>925</v>
      </c>
      <c r="C159" s="281" t="s">
        <v>801</v>
      </c>
      <c r="D159" s="269"/>
      <c r="E159" s="269"/>
      <c r="F159" s="269"/>
      <c r="G159" s="269"/>
      <c r="H159" s="282" t="s">
        <v>685</v>
      </c>
      <c r="I159" s="272"/>
      <c r="J159" s="273"/>
    </row>
    <row r="160" ht="15.75" customHeight="1">
      <c r="B160" s="280" t="s">
        <v>926</v>
      </c>
      <c r="C160" s="281" t="s">
        <v>801</v>
      </c>
      <c r="D160" s="269"/>
      <c r="E160" s="269"/>
      <c r="F160" s="269"/>
      <c r="G160" s="269"/>
      <c r="H160" s="282" t="s">
        <v>685</v>
      </c>
      <c r="I160" s="272"/>
      <c r="J160" s="273"/>
    </row>
    <row r="161" ht="15.75" customHeight="1">
      <c r="B161" s="280" t="s">
        <v>927</v>
      </c>
      <c r="C161" s="281" t="s">
        <v>801</v>
      </c>
      <c r="D161" s="269"/>
      <c r="E161" s="269"/>
      <c r="F161" s="269"/>
      <c r="G161" s="269"/>
      <c r="H161" s="282" t="s">
        <v>685</v>
      </c>
      <c r="I161" s="272"/>
      <c r="J161" s="273"/>
    </row>
    <row r="162" ht="15.75" customHeight="1">
      <c r="B162" s="280" t="s">
        <v>928</v>
      </c>
      <c r="C162" s="281" t="s">
        <v>801</v>
      </c>
      <c r="D162" s="269"/>
      <c r="E162" s="269"/>
      <c r="F162" s="269"/>
      <c r="G162" s="269"/>
      <c r="H162" s="282" t="s">
        <v>685</v>
      </c>
      <c r="I162" s="272"/>
      <c r="J162" s="273"/>
    </row>
    <row r="163" ht="15.75" customHeight="1">
      <c r="B163" s="280" t="s">
        <v>929</v>
      </c>
      <c r="C163" s="281" t="s">
        <v>801</v>
      </c>
      <c r="D163" s="269"/>
      <c r="E163" s="269"/>
      <c r="F163" s="269"/>
      <c r="G163" s="269"/>
      <c r="H163" s="282" t="s">
        <v>685</v>
      </c>
      <c r="I163" s="272"/>
      <c r="J163" s="273"/>
    </row>
    <row r="164" ht="15.75" customHeight="1">
      <c r="B164" s="280" t="s">
        <v>930</v>
      </c>
      <c r="C164" s="281" t="s">
        <v>801</v>
      </c>
      <c r="D164" s="269"/>
      <c r="E164" s="269"/>
      <c r="F164" s="269"/>
      <c r="G164" s="269"/>
      <c r="H164" s="282" t="s">
        <v>685</v>
      </c>
      <c r="I164" s="272"/>
      <c r="J164" s="273"/>
    </row>
    <row r="165" ht="15.75" customHeight="1">
      <c r="B165" s="280" t="s">
        <v>931</v>
      </c>
      <c r="C165" s="281" t="s">
        <v>801</v>
      </c>
      <c r="D165" s="269"/>
      <c r="E165" s="269"/>
      <c r="F165" s="269"/>
      <c r="G165" s="269"/>
      <c r="H165" s="282" t="s">
        <v>685</v>
      </c>
      <c r="I165" s="272"/>
      <c r="J165" s="273"/>
    </row>
    <row r="166" ht="15.75" customHeight="1">
      <c r="B166" s="280" t="s">
        <v>932</v>
      </c>
      <c r="C166" s="281" t="s">
        <v>801</v>
      </c>
      <c r="D166" s="269"/>
      <c r="E166" s="269"/>
      <c r="F166" s="269"/>
      <c r="G166" s="269"/>
      <c r="H166" s="282" t="s">
        <v>685</v>
      </c>
      <c r="I166" s="272"/>
      <c r="J166" s="273"/>
    </row>
    <row r="167" ht="15.75" customHeight="1">
      <c r="B167" s="280" t="s">
        <v>933</v>
      </c>
      <c r="C167" s="281" t="s">
        <v>801</v>
      </c>
      <c r="D167" s="269"/>
      <c r="E167" s="269"/>
      <c r="F167" s="269"/>
      <c r="G167" s="269"/>
      <c r="H167" s="282" t="s">
        <v>685</v>
      </c>
      <c r="I167" s="272"/>
      <c r="J167" s="273"/>
    </row>
    <row r="168" ht="15.75" customHeight="1">
      <c r="B168" s="280" t="s">
        <v>934</v>
      </c>
      <c r="C168" s="281" t="s">
        <v>801</v>
      </c>
      <c r="D168" s="269"/>
      <c r="E168" s="269"/>
      <c r="F168" s="269"/>
      <c r="G168" s="269"/>
      <c r="H168" s="282" t="s">
        <v>685</v>
      </c>
      <c r="I168" s="272"/>
      <c r="J168" s="273"/>
    </row>
    <row r="169" ht="15.75" customHeight="1">
      <c r="B169" s="280" t="s">
        <v>935</v>
      </c>
      <c r="C169" s="281" t="s">
        <v>801</v>
      </c>
      <c r="D169" s="269"/>
      <c r="E169" s="269"/>
      <c r="F169" s="269"/>
      <c r="G169" s="269"/>
      <c r="H169" s="282" t="s">
        <v>685</v>
      </c>
      <c r="I169" s="272"/>
      <c r="J169" s="273"/>
    </row>
    <row r="170" ht="15.75" customHeight="1">
      <c r="B170" s="280" t="s">
        <v>936</v>
      </c>
      <c r="C170" s="281" t="s">
        <v>801</v>
      </c>
      <c r="D170" s="269"/>
      <c r="E170" s="269"/>
      <c r="F170" s="269"/>
      <c r="G170" s="269"/>
      <c r="H170" s="282" t="s">
        <v>685</v>
      </c>
      <c r="I170" s="272"/>
      <c r="J170" s="273"/>
    </row>
    <row r="171" ht="15.75" customHeight="1">
      <c r="B171" s="280" t="s">
        <v>937</v>
      </c>
      <c r="C171" s="281" t="s">
        <v>801</v>
      </c>
      <c r="D171" s="269"/>
      <c r="E171" s="269"/>
      <c r="F171" s="269"/>
      <c r="G171" s="269"/>
      <c r="H171" s="282" t="s">
        <v>685</v>
      </c>
      <c r="I171" s="272"/>
      <c r="J171" s="273"/>
    </row>
    <row r="172" ht="15.75" customHeight="1">
      <c r="B172" s="280" t="s">
        <v>938</v>
      </c>
      <c r="C172" s="281" t="s">
        <v>801</v>
      </c>
      <c r="D172" s="269"/>
      <c r="E172" s="269"/>
      <c r="F172" s="269"/>
      <c r="G172" s="269"/>
      <c r="H172" s="282" t="s">
        <v>685</v>
      </c>
      <c r="I172" s="272"/>
      <c r="J172" s="273"/>
    </row>
    <row r="173" ht="15.75" customHeight="1">
      <c r="B173" s="280" t="s">
        <v>939</v>
      </c>
      <c r="C173" s="281" t="s">
        <v>801</v>
      </c>
      <c r="D173" s="269"/>
      <c r="E173" s="269"/>
      <c r="F173" s="269"/>
      <c r="G173" s="269"/>
      <c r="H173" s="282" t="s">
        <v>685</v>
      </c>
      <c r="I173" s="272"/>
      <c r="J173" s="273"/>
    </row>
    <row r="174" ht="15.75" customHeight="1">
      <c r="B174" s="280" t="s">
        <v>940</v>
      </c>
      <c r="C174" s="281" t="s">
        <v>801</v>
      </c>
      <c r="D174" s="269"/>
      <c r="E174" s="269"/>
      <c r="F174" s="269"/>
      <c r="G174" s="269"/>
      <c r="H174" s="282" t="s">
        <v>685</v>
      </c>
      <c r="I174" s="272"/>
      <c r="J174" s="273"/>
    </row>
    <row r="175" ht="15.75" customHeight="1">
      <c r="B175" s="280" t="s">
        <v>941</v>
      </c>
      <c r="C175" s="281" t="s">
        <v>801</v>
      </c>
      <c r="D175" s="269"/>
      <c r="E175" s="269"/>
      <c r="F175" s="269"/>
      <c r="G175" s="269"/>
      <c r="H175" s="282" t="s">
        <v>685</v>
      </c>
      <c r="I175" s="272"/>
      <c r="J175" s="273"/>
    </row>
    <row r="176" ht="15.75" customHeight="1">
      <c r="B176" s="280" t="s">
        <v>942</v>
      </c>
      <c r="C176" s="281" t="s">
        <v>801</v>
      </c>
      <c r="D176" s="269"/>
      <c r="E176" s="269"/>
      <c r="F176" s="269"/>
      <c r="G176" s="269"/>
      <c r="H176" s="282" t="s">
        <v>685</v>
      </c>
      <c r="I176" s="272"/>
      <c r="J176" s="273"/>
    </row>
    <row r="177" ht="15.75" customHeight="1">
      <c r="B177" s="280" t="s">
        <v>943</v>
      </c>
      <c r="C177" s="281" t="s">
        <v>801</v>
      </c>
      <c r="D177" s="269"/>
      <c r="E177" s="269"/>
      <c r="F177" s="269"/>
      <c r="G177" s="269"/>
      <c r="H177" s="282" t="s">
        <v>685</v>
      </c>
      <c r="I177" s="272"/>
      <c r="J177" s="273"/>
    </row>
    <row r="178" ht="15.75" customHeight="1">
      <c r="B178" s="280" t="s">
        <v>944</v>
      </c>
      <c r="C178" s="281" t="s">
        <v>801</v>
      </c>
      <c r="D178" s="269"/>
      <c r="E178" s="269"/>
      <c r="F178" s="269"/>
      <c r="G178" s="269"/>
      <c r="H178" s="282" t="s">
        <v>685</v>
      </c>
      <c r="I178" s="272"/>
      <c r="J178" s="273"/>
    </row>
    <row r="179" ht="15.75" customHeight="1">
      <c r="B179" s="280" t="s">
        <v>945</v>
      </c>
      <c r="C179" s="281" t="s">
        <v>801</v>
      </c>
      <c r="D179" s="269"/>
      <c r="E179" s="269"/>
      <c r="F179" s="269"/>
      <c r="G179" s="269"/>
      <c r="H179" s="282" t="s">
        <v>685</v>
      </c>
      <c r="I179" s="272"/>
      <c r="J179" s="273"/>
    </row>
    <row r="180" ht="15.75" customHeight="1">
      <c r="B180" s="280" t="s">
        <v>946</v>
      </c>
      <c r="C180" s="281" t="s">
        <v>801</v>
      </c>
      <c r="D180" s="269"/>
      <c r="E180" s="269"/>
      <c r="F180" s="269"/>
      <c r="G180" s="269"/>
      <c r="H180" s="282" t="s">
        <v>685</v>
      </c>
      <c r="I180" s="272"/>
      <c r="J180" s="273"/>
    </row>
    <row r="181" ht="15.75" customHeight="1">
      <c r="B181" s="280" t="s">
        <v>947</v>
      </c>
      <c r="C181" s="281" t="s">
        <v>801</v>
      </c>
      <c r="D181" s="269"/>
      <c r="E181" s="269"/>
      <c r="F181" s="269"/>
      <c r="G181" s="269"/>
      <c r="H181" s="282" t="s">
        <v>685</v>
      </c>
      <c r="I181" s="272"/>
      <c r="J181" s="273"/>
    </row>
    <row r="182" ht="15.75" customHeight="1">
      <c r="B182" s="280" t="s">
        <v>948</v>
      </c>
      <c r="C182" s="281" t="s">
        <v>801</v>
      </c>
      <c r="D182" s="269"/>
      <c r="E182" s="269"/>
      <c r="F182" s="269"/>
      <c r="G182" s="269"/>
      <c r="H182" s="282" t="s">
        <v>685</v>
      </c>
      <c r="I182" s="272"/>
      <c r="J182" s="273"/>
    </row>
    <row r="183" ht="15.75" customHeight="1">
      <c r="B183" s="280" t="s">
        <v>949</v>
      </c>
      <c r="C183" s="281" t="s">
        <v>801</v>
      </c>
      <c r="D183" s="269"/>
      <c r="E183" s="269"/>
      <c r="F183" s="269"/>
      <c r="G183" s="269"/>
      <c r="H183" s="282" t="s">
        <v>685</v>
      </c>
      <c r="I183" s="272"/>
      <c r="J183" s="273"/>
    </row>
    <row r="184" ht="15.75" customHeight="1">
      <c r="B184" s="280" t="s">
        <v>950</v>
      </c>
      <c r="C184" s="281" t="s">
        <v>801</v>
      </c>
      <c r="D184" s="269"/>
      <c r="E184" s="269"/>
      <c r="F184" s="269"/>
      <c r="G184" s="269"/>
      <c r="H184" s="282" t="s">
        <v>685</v>
      </c>
      <c r="I184" s="272"/>
      <c r="J184" s="273"/>
    </row>
    <row r="185" ht="15.75" customHeight="1">
      <c r="B185" s="280" t="s">
        <v>951</v>
      </c>
      <c r="C185" s="281" t="s">
        <v>801</v>
      </c>
      <c r="D185" s="269"/>
      <c r="E185" s="269"/>
      <c r="F185" s="269"/>
      <c r="G185" s="269"/>
      <c r="H185" s="282" t="s">
        <v>685</v>
      </c>
      <c r="I185" s="272"/>
      <c r="J185" s="273"/>
    </row>
    <row r="186" ht="15.75" customHeight="1">
      <c r="B186" s="280" t="s">
        <v>952</v>
      </c>
      <c r="C186" s="281" t="s">
        <v>801</v>
      </c>
      <c r="D186" s="269"/>
      <c r="E186" s="269"/>
      <c r="F186" s="269"/>
      <c r="G186" s="269"/>
      <c r="H186" s="282" t="s">
        <v>685</v>
      </c>
      <c r="I186" s="272"/>
      <c r="J186" s="273"/>
    </row>
    <row r="187" ht="15.75" customHeight="1">
      <c r="B187" s="280" t="s">
        <v>953</v>
      </c>
      <c r="C187" s="281" t="s">
        <v>801</v>
      </c>
      <c r="D187" s="269"/>
      <c r="E187" s="269"/>
      <c r="F187" s="269"/>
      <c r="G187" s="269"/>
      <c r="H187" s="282" t="s">
        <v>685</v>
      </c>
      <c r="I187" s="272"/>
      <c r="J187" s="273"/>
    </row>
    <row r="188" ht="15.75" customHeight="1">
      <c r="B188" s="280" t="s">
        <v>954</v>
      </c>
      <c r="C188" s="281" t="s">
        <v>801</v>
      </c>
      <c r="D188" s="269"/>
      <c r="E188" s="269"/>
      <c r="F188" s="269"/>
      <c r="G188" s="269"/>
      <c r="H188" s="282" t="s">
        <v>685</v>
      </c>
      <c r="I188" s="272"/>
      <c r="J188" s="273"/>
    </row>
    <row r="189" ht="15.75" customHeight="1">
      <c r="B189" s="280" t="s">
        <v>955</v>
      </c>
      <c r="C189" s="281" t="s">
        <v>801</v>
      </c>
      <c r="D189" s="269"/>
      <c r="E189" s="269"/>
      <c r="F189" s="269"/>
      <c r="G189" s="269"/>
      <c r="H189" s="282" t="s">
        <v>685</v>
      </c>
      <c r="I189" s="272"/>
      <c r="J189" s="273"/>
    </row>
    <row r="190" ht="15.75" customHeight="1">
      <c r="B190" s="280" t="s">
        <v>956</v>
      </c>
      <c r="C190" s="281" t="s">
        <v>801</v>
      </c>
      <c r="D190" s="269"/>
      <c r="E190" s="269"/>
      <c r="F190" s="269"/>
      <c r="G190" s="269"/>
      <c r="H190" s="282" t="s">
        <v>685</v>
      </c>
      <c r="I190" s="272"/>
      <c r="J190" s="273"/>
    </row>
    <row r="191" ht="15.75" customHeight="1">
      <c r="B191" s="280" t="s">
        <v>957</v>
      </c>
      <c r="C191" s="281" t="s">
        <v>801</v>
      </c>
      <c r="D191" s="269"/>
      <c r="E191" s="269"/>
      <c r="F191" s="269"/>
      <c r="G191" s="269"/>
      <c r="H191" s="282" t="s">
        <v>685</v>
      </c>
      <c r="I191" s="272"/>
      <c r="J191" s="273"/>
    </row>
    <row r="192" ht="15.75" customHeight="1">
      <c r="B192" s="280" t="s">
        <v>958</v>
      </c>
      <c r="C192" s="281" t="s">
        <v>801</v>
      </c>
      <c r="D192" s="269"/>
      <c r="E192" s="269"/>
      <c r="F192" s="269"/>
      <c r="G192" s="269"/>
      <c r="H192" s="282" t="s">
        <v>685</v>
      </c>
      <c r="I192" s="272"/>
      <c r="J192" s="273"/>
    </row>
    <row r="193" ht="15.75" customHeight="1">
      <c r="B193" s="280" t="s">
        <v>959</v>
      </c>
      <c r="C193" s="281" t="s">
        <v>801</v>
      </c>
      <c r="D193" s="269"/>
      <c r="E193" s="269"/>
      <c r="F193" s="269"/>
      <c r="G193" s="269"/>
      <c r="H193" s="282" t="s">
        <v>685</v>
      </c>
      <c r="I193" s="272"/>
      <c r="J193" s="273"/>
    </row>
    <row r="194" ht="15.75" customHeight="1">
      <c r="B194" s="280" t="s">
        <v>960</v>
      </c>
      <c r="C194" s="281" t="s">
        <v>801</v>
      </c>
      <c r="D194" s="269"/>
      <c r="E194" s="269"/>
      <c r="F194" s="269"/>
      <c r="G194" s="269"/>
      <c r="H194" s="282" t="s">
        <v>685</v>
      </c>
      <c r="I194" s="272"/>
      <c r="J194" s="273"/>
    </row>
    <row r="195" ht="15.75" customHeight="1">
      <c r="B195" s="280" t="s">
        <v>961</v>
      </c>
      <c r="C195" s="281" t="s">
        <v>801</v>
      </c>
      <c r="D195" s="269"/>
      <c r="E195" s="269"/>
      <c r="F195" s="269"/>
      <c r="G195" s="269"/>
      <c r="H195" s="282" t="s">
        <v>685</v>
      </c>
      <c r="I195" s="272"/>
      <c r="J195" s="273"/>
    </row>
    <row r="196" ht="15.75" customHeight="1">
      <c r="B196" s="280" t="s">
        <v>962</v>
      </c>
      <c r="C196" s="281" t="s">
        <v>801</v>
      </c>
      <c r="D196" s="269"/>
      <c r="E196" s="269"/>
      <c r="F196" s="269"/>
      <c r="G196" s="269"/>
      <c r="H196" s="282" t="s">
        <v>685</v>
      </c>
      <c r="I196" s="272"/>
      <c r="J196" s="273"/>
    </row>
    <row r="197" ht="15.75" customHeight="1">
      <c r="B197" s="280" t="s">
        <v>963</v>
      </c>
      <c r="C197" s="281" t="s">
        <v>801</v>
      </c>
      <c r="D197" s="269"/>
      <c r="E197" s="269"/>
      <c r="F197" s="269"/>
      <c r="G197" s="269"/>
      <c r="H197" s="282" t="s">
        <v>685</v>
      </c>
      <c r="I197" s="272"/>
      <c r="J197" s="273"/>
    </row>
    <row r="198" ht="15.75" customHeight="1">
      <c r="B198" s="280" t="s">
        <v>964</v>
      </c>
      <c r="C198" s="281" t="s">
        <v>801</v>
      </c>
      <c r="D198" s="269"/>
      <c r="E198" s="269"/>
      <c r="F198" s="269"/>
      <c r="G198" s="269"/>
      <c r="H198" s="282" t="s">
        <v>685</v>
      </c>
      <c r="I198" s="272"/>
      <c r="J198" s="273"/>
    </row>
    <row r="199" ht="15.75" customHeight="1">
      <c r="B199" s="280" t="s">
        <v>965</v>
      </c>
      <c r="C199" s="281" t="s">
        <v>801</v>
      </c>
      <c r="D199" s="269"/>
      <c r="E199" s="269"/>
      <c r="F199" s="269"/>
      <c r="G199" s="269"/>
      <c r="H199" s="282" t="s">
        <v>685</v>
      </c>
      <c r="I199" s="272"/>
      <c r="J199" s="273"/>
    </row>
    <row r="200" ht="15.75" customHeight="1">
      <c r="B200" s="280" t="s">
        <v>966</v>
      </c>
      <c r="C200" s="281" t="s">
        <v>801</v>
      </c>
      <c r="D200" s="269"/>
      <c r="E200" s="269"/>
      <c r="F200" s="269"/>
      <c r="G200" s="269"/>
      <c r="H200" s="282" t="s">
        <v>685</v>
      </c>
      <c r="I200" s="272"/>
      <c r="J200" s="273"/>
    </row>
    <row r="201" ht="15.75" customHeight="1">
      <c r="B201" s="280" t="s">
        <v>967</v>
      </c>
      <c r="C201" s="281" t="s">
        <v>801</v>
      </c>
      <c r="D201" s="269"/>
      <c r="E201" s="269"/>
      <c r="F201" s="269"/>
      <c r="G201" s="269"/>
      <c r="H201" s="282" t="s">
        <v>685</v>
      </c>
      <c r="I201" s="272"/>
      <c r="J201" s="273"/>
    </row>
    <row r="202" ht="15.75" customHeight="1">
      <c r="B202" s="280" t="s">
        <v>968</v>
      </c>
      <c r="C202" s="281" t="s">
        <v>801</v>
      </c>
      <c r="D202" s="269"/>
      <c r="E202" s="269"/>
      <c r="F202" s="269"/>
      <c r="G202" s="269"/>
      <c r="H202" s="282" t="s">
        <v>685</v>
      </c>
      <c r="I202" s="272"/>
      <c r="J202" s="273"/>
    </row>
    <row r="203" ht="15.75" customHeight="1">
      <c r="B203" s="280" t="s">
        <v>969</v>
      </c>
      <c r="C203" s="281" t="s">
        <v>801</v>
      </c>
      <c r="D203" s="269"/>
      <c r="E203" s="269"/>
      <c r="F203" s="269"/>
      <c r="G203" s="269"/>
      <c r="H203" s="282" t="s">
        <v>685</v>
      </c>
      <c r="I203" s="272"/>
      <c r="J203" s="273"/>
    </row>
    <row r="204" ht="15.75" customHeight="1">
      <c r="B204" s="280" t="s">
        <v>970</v>
      </c>
      <c r="C204" s="281" t="s">
        <v>801</v>
      </c>
      <c r="D204" s="269"/>
      <c r="E204" s="269"/>
      <c r="F204" s="269"/>
      <c r="G204" s="269"/>
      <c r="H204" s="282" t="s">
        <v>685</v>
      </c>
      <c r="I204" s="272"/>
      <c r="J204" s="273"/>
    </row>
    <row r="205" ht="15.75" customHeight="1">
      <c r="B205" s="280" t="s">
        <v>971</v>
      </c>
      <c r="C205" s="281" t="s">
        <v>801</v>
      </c>
      <c r="D205" s="269"/>
      <c r="E205" s="269"/>
      <c r="F205" s="269"/>
      <c r="G205" s="269"/>
      <c r="H205" s="282" t="s">
        <v>685</v>
      </c>
      <c r="I205" s="272"/>
      <c r="J205" s="273"/>
    </row>
    <row r="206" ht="15.75" customHeight="1">
      <c r="B206" s="280" t="s">
        <v>972</v>
      </c>
      <c r="C206" s="281" t="s">
        <v>801</v>
      </c>
      <c r="D206" s="269"/>
      <c r="E206" s="269"/>
      <c r="F206" s="269"/>
      <c r="G206" s="269"/>
      <c r="H206" s="282" t="s">
        <v>685</v>
      </c>
      <c r="I206" s="272"/>
      <c r="J206" s="273"/>
    </row>
    <row r="207" ht="15.75" customHeight="1">
      <c r="B207" s="280" t="s">
        <v>973</v>
      </c>
      <c r="C207" s="281" t="s">
        <v>801</v>
      </c>
      <c r="D207" s="269"/>
      <c r="E207" s="269"/>
      <c r="F207" s="269"/>
      <c r="G207" s="269"/>
      <c r="H207" s="282" t="s">
        <v>685</v>
      </c>
      <c r="I207" s="272"/>
      <c r="J207" s="273"/>
    </row>
    <row r="208" ht="15.75" customHeight="1">
      <c r="B208" s="280" t="s">
        <v>974</v>
      </c>
      <c r="C208" s="281" t="s">
        <v>801</v>
      </c>
      <c r="D208" s="269"/>
      <c r="E208" s="269"/>
      <c r="F208" s="269"/>
      <c r="G208" s="269"/>
      <c r="H208" s="282" t="s">
        <v>685</v>
      </c>
      <c r="I208" s="272"/>
      <c r="J208" s="273"/>
    </row>
    <row r="209" ht="15.75" customHeight="1">
      <c r="B209" s="280" t="s">
        <v>975</v>
      </c>
      <c r="C209" s="281" t="s">
        <v>801</v>
      </c>
      <c r="D209" s="269"/>
      <c r="E209" s="269"/>
      <c r="F209" s="269"/>
      <c r="G209" s="269"/>
      <c r="H209" s="282" t="s">
        <v>685</v>
      </c>
      <c r="I209" s="272"/>
      <c r="J209" s="273"/>
    </row>
    <row r="210" ht="15.75" customHeight="1">
      <c r="B210" s="280" t="s">
        <v>976</v>
      </c>
      <c r="C210" s="281" t="s">
        <v>801</v>
      </c>
      <c r="D210" s="269"/>
      <c r="E210" s="269"/>
      <c r="F210" s="269"/>
      <c r="G210" s="269"/>
      <c r="H210" s="282" t="s">
        <v>685</v>
      </c>
      <c r="I210" s="272"/>
      <c r="J210" s="273"/>
    </row>
    <row r="211" ht="15.75" customHeight="1">
      <c r="B211" s="280" t="s">
        <v>977</v>
      </c>
      <c r="C211" s="281" t="s">
        <v>801</v>
      </c>
      <c r="D211" s="269"/>
      <c r="E211" s="269"/>
      <c r="F211" s="269"/>
      <c r="G211" s="269"/>
      <c r="H211" s="282" t="s">
        <v>685</v>
      </c>
      <c r="I211" s="272"/>
      <c r="J211" s="273"/>
    </row>
    <row r="212" ht="15.75" customHeight="1">
      <c r="B212" s="280" t="s">
        <v>978</v>
      </c>
      <c r="C212" s="281" t="s">
        <v>801</v>
      </c>
      <c r="D212" s="269"/>
      <c r="E212" s="269"/>
      <c r="F212" s="269"/>
      <c r="G212" s="269"/>
      <c r="H212" s="282" t="s">
        <v>685</v>
      </c>
      <c r="I212" s="272"/>
      <c r="J212" s="273"/>
    </row>
    <row r="213" ht="15.75" customHeight="1">
      <c r="B213" s="280" t="s">
        <v>979</v>
      </c>
      <c r="C213" s="281" t="s">
        <v>801</v>
      </c>
      <c r="D213" s="269"/>
      <c r="E213" s="269"/>
      <c r="F213" s="269"/>
      <c r="G213" s="269"/>
      <c r="H213" s="282" t="s">
        <v>685</v>
      </c>
      <c r="I213" s="272"/>
      <c r="J213" s="273"/>
    </row>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18">
    <mergeCell ref="B2:F2"/>
    <mergeCell ref="B3:E3"/>
    <mergeCell ref="B4:E4"/>
    <mergeCell ref="B5:E5"/>
    <mergeCell ref="B6:E6"/>
    <mergeCell ref="E8:F8"/>
    <mergeCell ref="B9:C9"/>
    <mergeCell ref="B19:F19"/>
    <mergeCell ref="B20:F20"/>
    <mergeCell ref="B24:C24"/>
    <mergeCell ref="E24:F24"/>
    <mergeCell ref="B10:C10"/>
    <mergeCell ref="B12:F12"/>
    <mergeCell ref="B13:F13"/>
    <mergeCell ref="B15:F15"/>
    <mergeCell ref="B16:F16"/>
    <mergeCell ref="B17:F17"/>
    <mergeCell ref="B18:F18"/>
  </mergeCells>
  <conditionalFormatting sqref="B26:B28">
    <cfRule type="containsText" dxfId="2" priority="1" operator="containsText" text="Approved">
      <formula>NOT(ISERROR(SEARCH(("Approved"),(B26))))</formula>
    </cfRule>
  </conditionalFormatting>
  <conditionalFormatting sqref="B26:B28">
    <cfRule type="containsText" dxfId="3" priority="2" operator="containsText" text="Needs Review">
      <formula>NOT(ISERROR(SEARCH(("Needs Review"),(B26))))</formula>
    </cfRule>
  </conditionalFormatting>
  <conditionalFormatting sqref="B26:B28">
    <cfRule type="containsText" dxfId="4" priority="3" operator="containsText" text="Not Started">
      <formula>NOT(ISERROR(SEARCH(("Not Started"),(B26))))</formula>
    </cfRule>
  </conditionalFormatting>
  <conditionalFormatting sqref="B26:B28">
    <cfRule type="containsText" dxfId="5" priority="4" operator="containsText" text="On Hold">
      <formula>NOT(ISERROR(SEARCH(("On Hold"),(B26))))</formula>
    </cfRule>
  </conditionalFormatting>
  <conditionalFormatting sqref="B26:B28">
    <cfRule type="containsText" dxfId="6" priority="5" operator="containsText" text="Open">
      <formula>NOT(ISERROR(SEARCH(("Open"),(B26))))</formula>
    </cfRule>
  </conditionalFormatting>
  <conditionalFormatting sqref="B26:B28">
    <cfRule type="containsText" dxfId="7" priority="6" operator="containsText" text="Closed">
      <formula>NOT(ISERROR(SEARCH(("Closed"),(B26))))</formula>
    </cfRule>
  </conditionalFormatting>
  <conditionalFormatting sqref="B26:B28">
    <cfRule type="containsText" dxfId="8" priority="7" operator="containsText" text="In Progress">
      <formula>NOT(ISERROR(SEARCH(("In Progress"),(B26))))</formula>
    </cfRule>
  </conditionalFormatting>
  <conditionalFormatting sqref="B29:B31">
    <cfRule type="containsText" dxfId="9" priority="8" operator="containsText" text="Minor">
      <formula>NOT(ISERROR(SEARCH(("Minor"),(B29))))</formula>
    </cfRule>
  </conditionalFormatting>
  <conditionalFormatting sqref="B29:B31">
    <cfRule type="containsText" dxfId="21" priority="9" operator="containsText" text="Major">
      <formula>NOT(ISERROR(SEARCH(("Major"),(B29))))</formula>
    </cfRule>
  </conditionalFormatting>
  <conditionalFormatting sqref="B29:B31">
    <cfRule type="containsText" dxfId="11" priority="10" operator="containsText" text="Critical">
      <formula>NOT(ISERROR(SEARCH(("Critical"),(B29))))</formula>
    </cfRule>
  </conditionalFormatting>
  <conditionalFormatting sqref="B35:F59">
    <cfRule type="expression" dxfId="12" priority="11">
      <formula>$H35="FAILED"</formula>
    </cfRule>
  </conditionalFormatting>
  <conditionalFormatting sqref="B64:G213">
    <cfRule type="expression" dxfId="12" priority="12">
      <formula>$H64="FAILED"</formula>
    </cfRule>
  </conditionalFormatting>
  <conditionalFormatting sqref="E26:E29">
    <cfRule type="containsText" dxfId="13" priority="13" operator="containsText" text="Not Executed">
      <formula>NOT(ISERROR(SEARCH(("Not Executed"),(E26))))</formula>
    </cfRule>
  </conditionalFormatting>
  <conditionalFormatting sqref="E26:E29">
    <cfRule type="containsText" dxfId="14" priority="14" operator="containsText" text="BLOCKED">
      <formula>NOT(ISERROR(SEARCH(("BLOCKED"),(E26))))</formula>
    </cfRule>
  </conditionalFormatting>
  <conditionalFormatting sqref="E26:E29">
    <cfRule type="containsText" dxfId="15" priority="15" operator="containsText" text="PASS">
      <formula>NOT(ISERROR(SEARCH(("PASS"),(E26))))</formula>
    </cfRule>
  </conditionalFormatting>
  <conditionalFormatting sqref="E26:E29">
    <cfRule type="containsText" dxfId="16" priority="16" operator="containsText" text="FAIL">
      <formula>NOT(ISERROR(SEARCH(("FAIL"),(E26))))</formula>
    </cfRule>
  </conditionalFormatting>
  <conditionalFormatting sqref="G35:G59">
    <cfRule type="containsText" dxfId="2" priority="17" operator="containsText" text="Approved">
      <formula>NOT(ISERROR(SEARCH(("Approved"),(G35))))</formula>
    </cfRule>
  </conditionalFormatting>
  <conditionalFormatting sqref="G35:G59">
    <cfRule type="containsText" dxfId="3" priority="18" operator="containsText" text="Needs Review">
      <formula>NOT(ISERROR(SEARCH(("Needs Review"),(G35))))</formula>
    </cfRule>
  </conditionalFormatting>
  <conditionalFormatting sqref="G35:G59">
    <cfRule type="containsText" dxfId="4" priority="19" operator="containsText" text="Not Started">
      <formula>NOT(ISERROR(SEARCH(("Not Started"),(G35))))</formula>
    </cfRule>
  </conditionalFormatting>
  <conditionalFormatting sqref="G35:G59">
    <cfRule type="containsText" dxfId="5" priority="20" operator="containsText" text="On Hold">
      <formula>NOT(ISERROR(SEARCH(("On Hold"),(G35))))</formula>
    </cfRule>
  </conditionalFormatting>
  <conditionalFormatting sqref="G35:G59">
    <cfRule type="containsText" dxfId="6" priority="21" operator="containsText" text="Open">
      <formula>NOT(ISERROR(SEARCH(("Open"),(G35))))</formula>
    </cfRule>
  </conditionalFormatting>
  <conditionalFormatting sqref="G35:G59">
    <cfRule type="containsText" dxfId="7" priority="22" operator="containsText" text="Closed">
      <formula>NOT(ISERROR(SEARCH(("Closed"),(G35))))</formula>
    </cfRule>
  </conditionalFormatting>
  <conditionalFormatting sqref="G35:G59">
    <cfRule type="containsText" dxfId="8" priority="23" operator="containsText" text="In Progress">
      <formula>NOT(ISERROR(SEARCH(("In Progress"),(G35))))</formula>
    </cfRule>
  </conditionalFormatting>
  <conditionalFormatting sqref="H35:H59">
    <cfRule type="containsText" dxfId="9" priority="24" operator="containsText" text="Minor">
      <formula>NOT(ISERROR(SEARCH(("Minor"),(H35))))</formula>
    </cfRule>
  </conditionalFormatting>
  <conditionalFormatting sqref="H35:H59">
    <cfRule type="containsText" dxfId="21" priority="25" operator="containsText" text="Major">
      <formula>NOT(ISERROR(SEARCH(("Major"),(H35))))</formula>
    </cfRule>
  </conditionalFormatting>
  <conditionalFormatting sqref="H35:H59">
    <cfRule type="containsText" dxfId="11" priority="26" operator="containsText" text="Critical">
      <formula>NOT(ISERROR(SEARCH(("Critical"),(H35))))</formula>
    </cfRule>
  </conditionalFormatting>
  <conditionalFormatting sqref="H64:H213">
    <cfRule type="containsText" dxfId="13" priority="27" operator="containsText" text="Not Executed">
      <formula>NOT(ISERROR(SEARCH(("Not Executed"),(H64))))</formula>
    </cfRule>
  </conditionalFormatting>
  <conditionalFormatting sqref="H64:H213">
    <cfRule type="containsText" dxfId="14" priority="28" operator="containsText" text="BLOCKED">
      <formula>NOT(ISERROR(SEARCH(("BLOCKED"),(H64))))</formula>
    </cfRule>
  </conditionalFormatting>
  <conditionalFormatting sqref="H64:H213">
    <cfRule type="containsText" dxfId="15" priority="29" operator="containsText" text="PASS">
      <formula>NOT(ISERROR(SEARCH(("PASS"),(H64))))</formula>
    </cfRule>
  </conditionalFormatting>
  <conditionalFormatting sqref="H64:H213">
    <cfRule type="containsText" dxfId="16" priority="30" operator="containsText" text="FAIL">
      <formula>NOT(ISERROR(SEARCH(("FAIL"),(H64))))</formula>
    </cfRule>
  </conditionalFormatting>
  <dataValidations>
    <dataValidation type="list" allowBlank="1" showErrorMessage="1" sqref="G35:G59">
      <formula1>'Dropdown Keys'!$H$3:$H$5</formula1>
    </dataValidation>
    <dataValidation type="list" allowBlank="1" showErrorMessage="1" sqref="H64:H213">
      <formula1>'Dropdown Keys'!$B$3:$B$6</formula1>
    </dataValidation>
    <dataValidation type="list" allowBlank="1" showErrorMessage="1" sqref="H35:H59">
      <formula1>Status</formula1>
    </dataValidation>
  </dataValidations>
  <printOptions/>
  <pageMargins bottom="0.4" footer="0.0" header="0.0" left="0.4" right="0.4" top="0.4"/>
  <pageSetup fitToHeight="0"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BFBF"/>
    <pageSetUpPr/>
  </sheetPr>
  <sheetViews>
    <sheetView showGridLines="0" workbookViewId="0"/>
  </sheetViews>
  <sheetFormatPr customHeight="1" defaultColWidth="11.22" defaultRowHeight="15.0"/>
  <cols>
    <col customWidth="1" min="1" max="1" width="3.33"/>
    <col customWidth="1" min="2" max="2" width="16.78"/>
    <col customWidth="1" min="3" max="3" width="3.33"/>
    <col customWidth="1" min="4" max="4" width="10.56"/>
    <col customWidth="1" min="5" max="5" width="3.33"/>
    <col customWidth="1" min="6" max="6" width="10.56"/>
    <col customWidth="1" min="7" max="7" width="3.33"/>
    <col customWidth="1" min="8" max="8" width="13.78"/>
    <col customWidth="1" min="9" max="9" width="3.33"/>
    <col customWidth="1" min="10" max="10" width="15.78"/>
    <col customWidth="1" min="11" max="11" width="3.33"/>
    <col customWidth="1" min="12" max="12" width="12.78"/>
    <col customWidth="1" min="13" max="13" width="3.33"/>
    <col customWidth="1" min="14" max="32" width="10.56"/>
  </cols>
  <sheetData>
    <row r="1" ht="42.0" customHeight="1">
      <c r="A1" s="283"/>
      <c r="B1" s="284" t="s">
        <v>980</v>
      </c>
      <c r="C1" s="285"/>
      <c r="D1" s="285"/>
      <c r="E1" s="285"/>
      <c r="F1" s="285"/>
      <c r="G1" s="285"/>
      <c r="H1" s="285"/>
      <c r="I1" s="285"/>
      <c r="J1" s="285"/>
      <c r="K1" s="285"/>
      <c r="L1" s="285"/>
      <c r="M1" s="285"/>
      <c r="N1" s="285"/>
      <c r="O1" s="285"/>
      <c r="P1" s="285"/>
      <c r="Q1" s="285"/>
      <c r="R1" s="283"/>
      <c r="S1" s="283"/>
      <c r="T1" s="283"/>
      <c r="U1" s="283"/>
      <c r="V1" s="283"/>
      <c r="W1" s="283"/>
      <c r="X1" s="283"/>
      <c r="Y1" s="263"/>
      <c r="Z1" s="263"/>
      <c r="AA1" s="263"/>
      <c r="AB1" s="263"/>
      <c r="AC1" s="263"/>
      <c r="AD1" s="263"/>
      <c r="AE1" s="263"/>
      <c r="AF1" s="263"/>
    </row>
    <row r="2" ht="34.5" customHeight="1">
      <c r="A2" s="263"/>
      <c r="B2" s="286" t="s">
        <v>981</v>
      </c>
      <c r="C2" s="263"/>
      <c r="D2" s="286" t="s">
        <v>982</v>
      </c>
      <c r="E2" s="263"/>
      <c r="F2" s="286" t="s">
        <v>983</v>
      </c>
      <c r="G2" s="263"/>
      <c r="H2" s="286" t="s">
        <v>702</v>
      </c>
      <c r="I2" s="263"/>
      <c r="J2" s="286" t="s">
        <v>984</v>
      </c>
      <c r="K2" s="263"/>
      <c r="L2" s="286" t="s">
        <v>985</v>
      </c>
      <c r="M2" s="263"/>
      <c r="N2" s="287" t="s">
        <v>712</v>
      </c>
    </row>
    <row r="3" ht="34.5" customHeight="1">
      <c r="A3" s="263"/>
      <c r="B3" s="288" t="s">
        <v>685</v>
      </c>
      <c r="C3" s="263"/>
      <c r="D3" s="261" t="s">
        <v>986</v>
      </c>
      <c r="E3" s="283"/>
      <c r="F3" s="289" t="s">
        <v>691</v>
      </c>
      <c r="G3" s="283"/>
      <c r="H3" s="270" t="s">
        <v>684</v>
      </c>
      <c r="I3" s="283"/>
      <c r="J3" s="269" t="s">
        <v>987</v>
      </c>
      <c r="K3" s="283"/>
      <c r="L3" s="269" t="s">
        <v>31</v>
      </c>
      <c r="M3" s="263"/>
      <c r="N3" s="289" t="s">
        <v>683</v>
      </c>
    </row>
    <row r="4" ht="34.5" customHeight="1">
      <c r="A4" s="263"/>
      <c r="B4" s="290" t="s">
        <v>687</v>
      </c>
      <c r="C4" s="263"/>
      <c r="D4" s="261" t="s">
        <v>683</v>
      </c>
      <c r="E4" s="283"/>
      <c r="F4" s="289" t="s">
        <v>693</v>
      </c>
      <c r="G4" s="283"/>
      <c r="H4" s="258" t="s">
        <v>112</v>
      </c>
      <c r="I4" s="283"/>
      <c r="J4" s="291" t="s">
        <v>988</v>
      </c>
      <c r="K4" s="283"/>
      <c r="L4" s="291" t="s">
        <v>112</v>
      </c>
      <c r="M4" s="263"/>
      <c r="N4" s="289" t="s">
        <v>686</v>
      </c>
    </row>
    <row r="5" ht="34.5" customHeight="1">
      <c r="A5" s="263"/>
      <c r="B5" s="290" t="s">
        <v>690</v>
      </c>
      <c r="C5" s="263"/>
      <c r="D5" s="261" t="s">
        <v>686</v>
      </c>
      <c r="E5" s="283"/>
      <c r="F5" s="261" t="s">
        <v>694</v>
      </c>
      <c r="G5" s="283"/>
      <c r="H5" s="258" t="s">
        <v>689</v>
      </c>
      <c r="I5" s="283"/>
      <c r="J5" s="291" t="s">
        <v>989</v>
      </c>
      <c r="K5" s="283"/>
      <c r="L5" s="291" t="s">
        <v>990</v>
      </c>
      <c r="M5" s="263"/>
      <c r="N5" s="289" t="s">
        <v>688</v>
      </c>
    </row>
    <row r="6" ht="34.5" customHeight="1">
      <c r="A6" s="263"/>
      <c r="B6" s="290" t="s">
        <v>692</v>
      </c>
      <c r="C6" s="263"/>
      <c r="D6" s="261" t="s">
        <v>688</v>
      </c>
      <c r="E6" s="283"/>
      <c r="G6" s="283"/>
      <c r="H6" s="270"/>
      <c r="I6" s="283"/>
      <c r="J6" s="269"/>
      <c r="K6" s="283"/>
      <c r="L6" s="269" t="s">
        <v>991</v>
      </c>
      <c r="M6" s="263"/>
    </row>
    <row r="7" ht="34.5" customHeight="1">
      <c r="A7" s="263"/>
      <c r="B7" s="283"/>
      <c r="C7" s="263"/>
      <c r="D7" s="261" t="s">
        <v>694</v>
      </c>
      <c r="E7" s="283"/>
      <c r="G7" s="283"/>
      <c r="H7" s="270"/>
      <c r="I7" s="283"/>
      <c r="J7" s="269"/>
      <c r="K7" s="283"/>
      <c r="L7" s="269" t="s">
        <v>992</v>
      </c>
      <c r="M7" s="263"/>
    </row>
    <row r="8" ht="34.5" customHeight="1">
      <c r="A8" s="263"/>
      <c r="B8" s="283"/>
      <c r="C8" s="263"/>
      <c r="E8" s="283"/>
      <c r="G8" s="283"/>
      <c r="H8" s="270"/>
      <c r="I8" s="283"/>
      <c r="J8" s="269"/>
      <c r="K8" s="283"/>
      <c r="L8" s="269" t="s">
        <v>993</v>
      </c>
      <c r="M8" s="263"/>
    </row>
    <row r="9" ht="34.5" customHeight="1">
      <c r="A9" s="263"/>
      <c r="B9" s="263"/>
      <c r="C9" s="263"/>
      <c r="E9" s="283"/>
      <c r="G9" s="283"/>
      <c r="H9" s="292"/>
      <c r="I9" s="283"/>
      <c r="J9" s="269"/>
      <c r="K9" s="283"/>
      <c r="L9" s="269" t="s">
        <v>994</v>
      </c>
      <c r="M9" s="263"/>
    </row>
    <row r="10" ht="34.5" customHeight="1">
      <c r="A10" s="263"/>
      <c r="B10" s="263"/>
      <c r="C10" s="263"/>
      <c r="D10" s="292"/>
      <c r="E10" s="283"/>
      <c r="F10" s="292"/>
      <c r="G10" s="283"/>
      <c r="H10" s="292"/>
      <c r="I10" s="283"/>
      <c r="J10" s="292"/>
      <c r="K10" s="283"/>
      <c r="L10" s="269"/>
      <c r="M10" s="263"/>
    </row>
    <row r="11" ht="34.5" customHeight="1">
      <c r="A11" s="263"/>
      <c r="B11" s="263"/>
      <c r="C11" s="263"/>
      <c r="D11" s="292"/>
      <c r="E11" s="283"/>
      <c r="F11" s="292"/>
      <c r="G11" s="283"/>
      <c r="H11" s="292"/>
      <c r="I11" s="283"/>
      <c r="J11" s="292"/>
      <c r="K11" s="283"/>
      <c r="L11" s="269"/>
      <c r="M11" s="263"/>
    </row>
    <row r="12" ht="15.75" customHeight="1">
      <c r="A12" s="263"/>
      <c r="B12" s="263"/>
      <c r="C12" s="263"/>
      <c r="D12" s="292"/>
      <c r="E12" s="263"/>
      <c r="F12" s="292"/>
      <c r="G12" s="263"/>
      <c r="H12" s="292"/>
      <c r="I12" s="263"/>
      <c r="J12" s="292"/>
      <c r="K12" s="263"/>
      <c r="L12" s="292"/>
      <c r="M12" s="263"/>
    </row>
    <row r="13" ht="15.75" customHeight="1">
      <c r="A13" s="263"/>
      <c r="B13" s="263"/>
      <c r="C13" s="263"/>
      <c r="D13" s="292"/>
      <c r="E13" s="263"/>
      <c r="F13" s="292"/>
      <c r="G13" s="263"/>
      <c r="H13" s="292"/>
      <c r="I13" s="263"/>
      <c r="J13" s="292"/>
      <c r="K13" s="263"/>
      <c r="L13" s="292"/>
      <c r="M13" s="263"/>
    </row>
    <row r="14" ht="15.75" customHeight="1">
      <c r="A14" s="263"/>
      <c r="B14" s="263"/>
      <c r="C14" s="263"/>
      <c r="D14" s="292"/>
      <c r="E14" s="263"/>
      <c r="F14" s="292"/>
      <c r="G14" s="263"/>
      <c r="H14" s="292"/>
      <c r="I14" s="263"/>
      <c r="J14" s="292"/>
      <c r="K14" s="263"/>
      <c r="L14" s="292"/>
      <c r="M14" s="263"/>
    </row>
    <row r="15" ht="15.75" customHeight="1">
      <c r="A15" s="263"/>
      <c r="B15" s="263"/>
      <c r="C15" s="263"/>
      <c r="D15" s="292"/>
      <c r="E15" s="263"/>
      <c r="F15" s="292"/>
      <c r="G15" s="263"/>
      <c r="H15" s="292"/>
      <c r="I15" s="263"/>
      <c r="J15" s="292"/>
      <c r="K15" s="263"/>
      <c r="L15" s="292"/>
      <c r="M15" s="263"/>
    </row>
    <row r="16" ht="15.75" customHeight="1">
      <c r="A16" s="263"/>
      <c r="B16" s="263"/>
      <c r="C16" s="263"/>
      <c r="D16" s="292"/>
      <c r="E16" s="263"/>
      <c r="F16" s="292"/>
      <c r="G16" s="263"/>
      <c r="H16" s="292"/>
      <c r="I16" s="263"/>
      <c r="J16" s="292"/>
      <c r="K16" s="263"/>
      <c r="L16" s="292"/>
      <c r="M16" s="263"/>
    </row>
    <row r="17" ht="15.75" customHeight="1">
      <c r="A17" s="263"/>
      <c r="B17" s="263"/>
      <c r="C17" s="263"/>
      <c r="D17" s="292"/>
      <c r="E17" s="263"/>
      <c r="F17" s="292"/>
      <c r="G17" s="263"/>
      <c r="I17" s="263"/>
      <c r="K17" s="263"/>
      <c r="M17" s="263"/>
    </row>
    <row r="18" ht="15.75" customHeight="1">
      <c r="A18" s="263"/>
      <c r="B18" s="263"/>
      <c r="C18" s="263"/>
      <c r="D18" s="292"/>
      <c r="E18" s="263"/>
      <c r="F18" s="292"/>
      <c r="G18" s="263"/>
      <c r="I18" s="263"/>
      <c r="K18" s="263"/>
      <c r="M18" s="263"/>
    </row>
    <row r="19" ht="15.75" customHeight="1">
      <c r="A19" s="263"/>
      <c r="B19" s="263"/>
      <c r="C19" s="263"/>
      <c r="D19" s="292"/>
      <c r="E19" s="263"/>
      <c r="F19" s="292"/>
      <c r="G19" s="263"/>
      <c r="I19" s="263"/>
      <c r="K19" s="263"/>
      <c r="M19" s="263"/>
    </row>
    <row r="20" ht="15.75" customHeight="1">
      <c r="A20" s="263"/>
      <c r="B20" s="263"/>
      <c r="C20" s="263"/>
      <c r="D20" s="292"/>
      <c r="E20" s="263"/>
      <c r="F20" s="292"/>
      <c r="G20" s="263"/>
      <c r="I20" s="263"/>
      <c r="K20" s="263"/>
      <c r="M20" s="263"/>
    </row>
    <row r="21" ht="15.75" customHeight="1">
      <c r="A21" s="263"/>
      <c r="B21" s="263"/>
      <c r="C21" s="263"/>
      <c r="D21" s="292"/>
      <c r="E21" s="263"/>
      <c r="F21" s="292"/>
      <c r="G21" s="263"/>
      <c r="I21" s="263"/>
      <c r="K21" s="263"/>
      <c r="M21" s="263"/>
    </row>
    <row r="22" ht="15.75" customHeight="1">
      <c r="A22" s="263"/>
      <c r="B22" s="263"/>
      <c r="C22" s="263"/>
      <c r="D22" s="292"/>
      <c r="E22" s="263"/>
      <c r="F22" s="292"/>
      <c r="G22" s="263"/>
      <c r="I22" s="263"/>
      <c r="K22" s="263"/>
      <c r="M22" s="263"/>
    </row>
    <row r="23" ht="15.75" customHeight="1">
      <c r="A23" s="263"/>
      <c r="B23" s="263"/>
      <c r="C23" s="263"/>
      <c r="D23" s="292"/>
      <c r="E23" s="263"/>
      <c r="F23" s="292"/>
      <c r="G23" s="263"/>
      <c r="I23" s="263"/>
      <c r="K23" s="263"/>
      <c r="M23" s="263"/>
    </row>
    <row r="24" ht="15.75" customHeight="1">
      <c r="A24" s="263"/>
      <c r="B24" s="263"/>
      <c r="C24" s="263"/>
      <c r="D24" s="292"/>
      <c r="E24" s="263"/>
      <c r="F24" s="292"/>
      <c r="G24" s="263"/>
      <c r="I24" s="263"/>
      <c r="K24" s="263"/>
      <c r="M24" s="263"/>
    </row>
    <row r="25" ht="15.75" customHeight="1">
      <c r="A25" s="263"/>
      <c r="B25" s="263"/>
      <c r="C25" s="263"/>
      <c r="D25" s="292"/>
      <c r="E25" s="263"/>
      <c r="F25" s="292"/>
      <c r="G25" s="263"/>
      <c r="I25" s="263"/>
      <c r="K25" s="263"/>
      <c r="M25" s="263"/>
    </row>
    <row r="26" ht="15.75" customHeight="1">
      <c r="A26" s="263"/>
      <c r="B26" s="263"/>
      <c r="C26" s="263"/>
      <c r="D26" s="292"/>
      <c r="E26" s="263"/>
      <c r="F26" s="292"/>
      <c r="G26" s="263"/>
      <c r="I26" s="263"/>
      <c r="K26" s="263"/>
      <c r="M26" s="263"/>
    </row>
    <row r="27" ht="15.75" customHeight="1">
      <c r="A27" s="263"/>
      <c r="B27" s="263"/>
      <c r="C27" s="263"/>
      <c r="D27" s="292"/>
      <c r="E27" s="263"/>
      <c r="F27" s="292"/>
      <c r="G27" s="263"/>
      <c r="I27" s="263"/>
      <c r="K27" s="263"/>
      <c r="M27" s="263"/>
    </row>
    <row r="28" ht="15.75" customHeight="1">
      <c r="A28" s="263"/>
      <c r="B28" s="263"/>
      <c r="C28" s="263"/>
      <c r="D28" s="292"/>
      <c r="E28" s="263"/>
      <c r="F28" s="292"/>
      <c r="G28" s="263"/>
      <c r="I28" s="263"/>
      <c r="K28" s="263"/>
      <c r="M28" s="263"/>
    </row>
    <row r="29" ht="15.75" customHeight="1">
      <c r="A29" s="263"/>
      <c r="B29" s="263"/>
      <c r="C29" s="263"/>
      <c r="D29" s="292"/>
      <c r="E29" s="263"/>
      <c r="F29" s="292"/>
      <c r="G29" s="263"/>
      <c r="I29" s="263"/>
      <c r="K29" s="263"/>
      <c r="M29" s="263"/>
    </row>
    <row r="30" ht="15.75" customHeight="1">
      <c r="A30" s="263"/>
      <c r="B30" s="263"/>
      <c r="C30" s="263"/>
      <c r="D30" s="292"/>
      <c r="E30" s="263"/>
      <c r="F30" s="292"/>
      <c r="G30" s="263"/>
      <c r="I30" s="263"/>
      <c r="K30" s="263"/>
      <c r="M30" s="263"/>
    </row>
    <row r="31" ht="15.75" customHeight="1">
      <c r="A31" s="263"/>
      <c r="B31" s="263"/>
      <c r="C31" s="263"/>
      <c r="D31" s="292"/>
      <c r="E31" s="263"/>
      <c r="F31" s="292"/>
      <c r="G31" s="263"/>
      <c r="I31" s="263"/>
      <c r="K31" s="263"/>
      <c r="M31" s="263"/>
    </row>
    <row r="32" ht="15.75" customHeight="1">
      <c r="D32" s="292"/>
      <c r="F32" s="292"/>
    </row>
    <row r="33" ht="15.75" customHeight="1">
      <c r="A33" s="263"/>
      <c r="B33" s="263"/>
      <c r="C33" s="263"/>
      <c r="E33" s="263"/>
      <c r="G33" s="263"/>
      <c r="I33" s="263"/>
      <c r="K33" s="263"/>
      <c r="M33" s="263"/>
    </row>
    <row r="34" ht="15.75" customHeight="1">
      <c r="A34" s="263"/>
      <c r="B34" s="263"/>
      <c r="C34" s="263"/>
      <c r="E34" s="263"/>
      <c r="G34" s="263"/>
      <c r="I34" s="263"/>
      <c r="K34" s="263"/>
      <c r="M34" s="263"/>
    </row>
    <row r="35" ht="15.75" customHeight="1">
      <c r="A35" s="263"/>
      <c r="B35" s="263"/>
      <c r="C35" s="263"/>
      <c r="E35" s="263"/>
      <c r="G35" s="263"/>
      <c r="I35" s="263"/>
      <c r="K35" s="263"/>
      <c r="M35" s="263"/>
    </row>
    <row r="36" ht="15.75" customHeight="1">
      <c r="A36" s="263"/>
      <c r="B36" s="263"/>
      <c r="C36" s="263"/>
      <c r="E36" s="263"/>
      <c r="G36" s="263"/>
      <c r="I36" s="263"/>
      <c r="K36" s="263"/>
      <c r="M36" s="263"/>
    </row>
    <row r="37" ht="15.75" customHeight="1">
      <c r="A37" s="263"/>
      <c r="B37" s="263"/>
      <c r="C37" s="263"/>
      <c r="E37" s="263"/>
      <c r="G37" s="263"/>
      <c r="I37" s="263"/>
      <c r="K37" s="263"/>
      <c r="M37" s="263"/>
    </row>
    <row r="38" ht="15.75" customHeight="1">
      <c r="A38" s="263"/>
      <c r="B38" s="263"/>
      <c r="C38" s="263"/>
      <c r="E38" s="263"/>
      <c r="G38" s="263"/>
      <c r="I38" s="263"/>
      <c r="K38" s="263"/>
      <c r="M38" s="263"/>
    </row>
    <row r="39" ht="15.75" customHeight="1">
      <c r="A39" s="263"/>
      <c r="B39" s="263"/>
      <c r="C39" s="263"/>
      <c r="E39" s="263"/>
      <c r="G39" s="263"/>
      <c r="I39" s="263"/>
      <c r="K39" s="263"/>
      <c r="M39" s="263"/>
    </row>
    <row r="40" ht="15.75" customHeight="1">
      <c r="A40" s="263"/>
      <c r="B40" s="263"/>
      <c r="C40" s="263"/>
      <c r="E40" s="263"/>
      <c r="G40" s="263"/>
      <c r="I40" s="263"/>
      <c r="K40" s="263"/>
      <c r="M40" s="263"/>
    </row>
    <row r="41" ht="15.75" customHeight="1">
      <c r="A41" s="263"/>
      <c r="B41" s="263"/>
      <c r="C41" s="263"/>
      <c r="E41" s="263"/>
      <c r="G41" s="263"/>
      <c r="I41" s="263"/>
      <c r="K41" s="263"/>
      <c r="M41" s="263"/>
    </row>
    <row r="42" ht="15.75" customHeight="1">
      <c r="A42" s="263"/>
      <c r="B42" s="263"/>
      <c r="C42" s="263"/>
      <c r="E42" s="263"/>
      <c r="G42" s="263"/>
      <c r="I42" s="263"/>
      <c r="K42" s="263"/>
      <c r="M42" s="263"/>
    </row>
    <row r="43" ht="15.75" customHeight="1">
      <c r="A43" s="263"/>
      <c r="B43" s="263"/>
      <c r="C43" s="263"/>
      <c r="E43" s="263"/>
      <c r="G43" s="263"/>
      <c r="I43" s="263"/>
      <c r="K43" s="263"/>
      <c r="M43" s="263"/>
    </row>
    <row r="44" ht="15.75" customHeight="1">
      <c r="A44" s="263"/>
      <c r="B44" s="263"/>
      <c r="C44" s="263"/>
      <c r="E44" s="263"/>
      <c r="G44" s="263"/>
      <c r="I44" s="263"/>
      <c r="K44" s="263"/>
      <c r="M44" s="263"/>
    </row>
    <row r="45" ht="15.75" customHeight="1">
      <c r="A45" s="263"/>
      <c r="B45" s="263"/>
      <c r="C45" s="263"/>
      <c r="E45" s="263"/>
      <c r="G45" s="263"/>
      <c r="I45" s="263"/>
      <c r="K45" s="263"/>
      <c r="M45" s="263"/>
    </row>
    <row r="46" ht="15.75" customHeight="1">
      <c r="A46" s="263"/>
      <c r="B46" s="263"/>
      <c r="C46" s="263"/>
      <c r="E46" s="263"/>
      <c r="G46" s="263"/>
      <c r="I46" s="263"/>
      <c r="K46" s="263"/>
      <c r="M46" s="263"/>
    </row>
    <row r="47" ht="15.75" customHeight="1">
      <c r="A47" s="263"/>
      <c r="B47" s="263"/>
      <c r="C47" s="263"/>
      <c r="E47" s="263"/>
      <c r="G47" s="263"/>
      <c r="I47" s="263"/>
      <c r="K47" s="263"/>
      <c r="M47" s="263"/>
    </row>
    <row r="48" ht="15.75" customHeight="1">
      <c r="A48" s="263"/>
      <c r="B48" s="263"/>
      <c r="C48" s="263"/>
      <c r="E48" s="263"/>
      <c r="G48" s="263"/>
      <c r="I48" s="263"/>
      <c r="K48" s="263"/>
      <c r="M48" s="263"/>
    </row>
    <row r="49" ht="15.75" customHeight="1">
      <c r="A49" s="263"/>
      <c r="B49" s="263"/>
      <c r="C49" s="263"/>
      <c r="E49" s="263"/>
      <c r="G49" s="263"/>
      <c r="I49" s="263"/>
      <c r="K49" s="263"/>
      <c r="M49" s="263"/>
    </row>
    <row r="50" ht="15.75" customHeight="1">
      <c r="A50" s="263"/>
      <c r="B50" s="263"/>
      <c r="C50" s="263"/>
      <c r="E50" s="263"/>
      <c r="G50" s="263"/>
      <c r="I50" s="263"/>
      <c r="K50" s="263"/>
      <c r="M50" s="263"/>
    </row>
    <row r="51" ht="15.75" customHeight="1">
      <c r="A51" s="263"/>
      <c r="B51" s="263"/>
      <c r="C51" s="263"/>
      <c r="E51" s="263"/>
      <c r="G51" s="263"/>
      <c r="I51" s="263"/>
      <c r="K51" s="263"/>
      <c r="M51" s="263"/>
    </row>
    <row r="52" ht="15.75" customHeight="1">
      <c r="A52" s="263"/>
      <c r="B52" s="263"/>
      <c r="C52" s="263"/>
      <c r="E52" s="263"/>
      <c r="G52" s="263"/>
      <c r="I52" s="263"/>
      <c r="K52" s="263"/>
      <c r="M52" s="263"/>
    </row>
    <row r="53" ht="15.75" customHeight="1">
      <c r="A53" s="263"/>
      <c r="B53" s="263"/>
      <c r="C53" s="263"/>
      <c r="E53" s="263"/>
      <c r="G53" s="263"/>
      <c r="I53" s="263"/>
      <c r="K53" s="263"/>
      <c r="M53" s="263"/>
    </row>
    <row r="54" ht="15.75" customHeight="1">
      <c r="A54" s="263"/>
      <c r="B54" s="263"/>
      <c r="C54" s="263"/>
      <c r="E54" s="263"/>
      <c r="G54" s="263"/>
      <c r="I54" s="263"/>
      <c r="K54" s="263"/>
      <c r="M54" s="263"/>
    </row>
    <row r="55" ht="15.75" customHeight="1">
      <c r="A55" s="263"/>
      <c r="B55" s="263"/>
      <c r="C55" s="263"/>
      <c r="E55" s="263"/>
      <c r="G55" s="263"/>
      <c r="I55" s="263"/>
      <c r="K55" s="263"/>
      <c r="M55" s="263"/>
    </row>
    <row r="56" ht="15.75" customHeight="1">
      <c r="A56" s="263"/>
      <c r="B56" s="263"/>
      <c r="C56" s="263"/>
      <c r="E56" s="263"/>
      <c r="G56" s="263"/>
      <c r="I56" s="263"/>
      <c r="K56" s="263"/>
      <c r="M56" s="263"/>
    </row>
    <row r="57" ht="15.75" customHeight="1">
      <c r="A57" s="263"/>
      <c r="B57" s="263"/>
      <c r="C57" s="263"/>
      <c r="E57" s="263"/>
      <c r="G57" s="263"/>
      <c r="I57" s="263"/>
      <c r="K57" s="263"/>
      <c r="M57" s="263"/>
    </row>
    <row r="58" ht="15.75" customHeight="1">
      <c r="A58" s="263"/>
      <c r="B58" s="263"/>
      <c r="C58" s="263"/>
      <c r="E58" s="263"/>
      <c r="G58" s="263"/>
      <c r="I58" s="263"/>
      <c r="K58" s="263"/>
      <c r="M58" s="263"/>
    </row>
    <row r="59" ht="15.75" customHeight="1">
      <c r="A59" s="263"/>
      <c r="B59" s="263"/>
      <c r="C59" s="263"/>
      <c r="E59" s="263"/>
      <c r="G59" s="263"/>
      <c r="I59" s="263"/>
      <c r="K59" s="263"/>
      <c r="M59" s="263"/>
    </row>
    <row r="60" ht="15.75" customHeight="1">
      <c r="A60" s="263"/>
      <c r="B60" s="263"/>
      <c r="C60" s="263"/>
      <c r="E60" s="263"/>
      <c r="G60" s="263"/>
      <c r="I60" s="263"/>
      <c r="K60" s="263"/>
      <c r="M60" s="263"/>
    </row>
    <row r="61" ht="15.75" customHeight="1">
      <c r="A61" s="263"/>
      <c r="B61" s="263"/>
      <c r="C61" s="263"/>
      <c r="E61" s="263"/>
      <c r="G61" s="263"/>
      <c r="I61" s="263"/>
      <c r="K61" s="263"/>
      <c r="M61" s="263"/>
    </row>
    <row r="62" ht="15.75" customHeight="1">
      <c r="A62" s="283"/>
      <c r="B62" s="283"/>
      <c r="C62" s="283"/>
      <c r="E62" s="283"/>
      <c r="G62" s="283"/>
      <c r="I62" s="283"/>
      <c r="K62" s="283"/>
      <c r="M62" s="283"/>
    </row>
    <row r="63" ht="15.75" customHeight="1">
      <c r="A63" s="283"/>
      <c r="B63" s="283"/>
      <c r="C63" s="283"/>
      <c r="E63" s="283"/>
      <c r="G63" s="283"/>
      <c r="I63" s="283"/>
      <c r="K63" s="283"/>
      <c r="M63" s="283"/>
    </row>
    <row r="64" ht="15.75" customHeight="1">
      <c r="A64" s="283"/>
      <c r="B64" s="283"/>
      <c r="C64" s="283"/>
      <c r="E64" s="283"/>
      <c r="G64" s="283"/>
      <c r="I64" s="283"/>
      <c r="K64" s="283"/>
      <c r="M64" s="283"/>
    </row>
    <row r="65" ht="15.75" customHeight="1">
      <c r="A65" s="283"/>
      <c r="B65" s="283"/>
      <c r="C65" s="283"/>
      <c r="E65" s="283"/>
      <c r="G65" s="283"/>
      <c r="I65" s="283"/>
      <c r="K65" s="283"/>
      <c r="M65" s="283"/>
    </row>
    <row r="66" ht="15.75" customHeight="1">
      <c r="A66" s="283"/>
      <c r="B66" s="283"/>
      <c r="C66" s="283"/>
      <c r="E66" s="283"/>
      <c r="G66" s="283"/>
      <c r="I66" s="283"/>
      <c r="K66" s="283"/>
      <c r="M66" s="283"/>
    </row>
    <row r="67" ht="15.75" customHeight="1">
      <c r="A67" s="283"/>
      <c r="B67" s="283"/>
      <c r="C67" s="283"/>
      <c r="E67" s="283"/>
      <c r="G67" s="283"/>
      <c r="I67" s="283"/>
      <c r="K67" s="283"/>
      <c r="M67" s="283"/>
    </row>
    <row r="68" ht="15.75" customHeight="1">
      <c r="A68" s="283"/>
      <c r="B68" s="283"/>
      <c r="C68" s="283"/>
      <c r="E68" s="283"/>
      <c r="G68" s="283"/>
      <c r="I68" s="283"/>
      <c r="K68" s="283"/>
      <c r="M68" s="283"/>
    </row>
    <row r="69" ht="15.75" customHeight="1">
      <c r="A69" s="283"/>
      <c r="B69" s="283"/>
      <c r="C69" s="283"/>
      <c r="E69" s="283"/>
      <c r="G69" s="283"/>
      <c r="I69" s="283"/>
      <c r="K69" s="283"/>
      <c r="M69" s="283"/>
    </row>
    <row r="70" ht="15.75" customHeight="1">
      <c r="A70" s="283"/>
      <c r="B70" s="283"/>
      <c r="C70" s="283"/>
      <c r="E70" s="283"/>
      <c r="G70" s="283"/>
      <c r="I70" s="283"/>
      <c r="K70" s="283"/>
      <c r="M70" s="283"/>
    </row>
    <row r="71" ht="15.75" customHeight="1">
      <c r="A71" s="283"/>
      <c r="B71" s="283"/>
      <c r="C71" s="283"/>
      <c r="E71" s="283"/>
      <c r="G71" s="283"/>
      <c r="I71" s="283"/>
      <c r="K71" s="283"/>
      <c r="M71" s="283"/>
    </row>
    <row r="72" ht="15.75" customHeight="1">
      <c r="A72" s="283"/>
      <c r="B72" s="283"/>
      <c r="C72" s="283"/>
      <c r="E72" s="283"/>
      <c r="G72" s="283"/>
      <c r="I72" s="283"/>
      <c r="K72" s="283"/>
      <c r="M72" s="283"/>
    </row>
    <row r="73" ht="15.75" customHeight="1">
      <c r="A73" s="283"/>
      <c r="B73" s="283"/>
      <c r="C73" s="283"/>
      <c r="E73" s="283"/>
      <c r="G73" s="283"/>
      <c r="I73" s="283"/>
      <c r="K73" s="283"/>
      <c r="M73" s="283"/>
    </row>
    <row r="74" ht="15.75" customHeight="1">
      <c r="A74" s="283"/>
      <c r="B74" s="283"/>
      <c r="C74" s="283"/>
      <c r="E74" s="283"/>
      <c r="G74" s="283"/>
      <c r="I74" s="283"/>
      <c r="K74" s="283"/>
      <c r="M74" s="283"/>
    </row>
    <row r="75" ht="15.75" customHeight="1">
      <c r="A75" s="283"/>
      <c r="B75" s="283"/>
      <c r="C75" s="283"/>
      <c r="E75" s="283"/>
      <c r="G75" s="283"/>
      <c r="I75" s="283"/>
      <c r="K75" s="283"/>
      <c r="M75" s="283"/>
    </row>
    <row r="76" ht="15.75" customHeight="1">
      <c r="A76" s="283"/>
      <c r="B76" s="283"/>
      <c r="C76" s="283"/>
      <c r="E76" s="283"/>
      <c r="G76" s="283"/>
      <c r="I76" s="283"/>
      <c r="K76" s="283"/>
      <c r="M76" s="283"/>
    </row>
    <row r="77" ht="15.75" customHeight="1">
      <c r="A77" s="283"/>
      <c r="B77" s="283"/>
      <c r="C77" s="283"/>
      <c r="E77" s="283"/>
      <c r="G77" s="283"/>
      <c r="I77" s="283"/>
      <c r="K77" s="283"/>
      <c r="M77" s="283"/>
    </row>
    <row r="78" ht="15.75" customHeight="1">
      <c r="A78" s="283"/>
      <c r="B78" s="283"/>
      <c r="C78" s="283"/>
      <c r="E78" s="283"/>
      <c r="G78" s="283"/>
      <c r="I78" s="283"/>
      <c r="K78" s="283"/>
      <c r="M78" s="283"/>
    </row>
    <row r="79" ht="15.75" customHeight="1">
      <c r="A79" s="283"/>
      <c r="B79" s="283"/>
      <c r="C79" s="283"/>
      <c r="E79" s="283"/>
      <c r="G79" s="283"/>
      <c r="I79" s="283"/>
      <c r="K79" s="283"/>
      <c r="M79" s="283"/>
    </row>
    <row r="80" ht="15.75" customHeight="1">
      <c r="A80" s="283"/>
      <c r="B80" s="283"/>
      <c r="C80" s="283"/>
      <c r="E80" s="283"/>
      <c r="G80" s="283"/>
      <c r="I80" s="283"/>
      <c r="K80" s="283"/>
      <c r="M80" s="283"/>
    </row>
    <row r="81" ht="15.75" customHeight="1">
      <c r="A81" s="283"/>
      <c r="B81" s="283"/>
      <c r="C81" s="283"/>
      <c r="E81" s="283"/>
      <c r="G81" s="283"/>
      <c r="I81" s="283"/>
      <c r="K81" s="283"/>
      <c r="M81" s="283"/>
    </row>
    <row r="82" ht="15.75" customHeight="1">
      <c r="A82" s="283"/>
      <c r="B82" s="283"/>
      <c r="C82" s="283"/>
      <c r="E82" s="283"/>
      <c r="G82" s="283"/>
      <c r="I82" s="283"/>
      <c r="K82" s="283"/>
      <c r="M82" s="283"/>
    </row>
    <row r="83" ht="15.75" customHeight="1">
      <c r="A83" s="283"/>
      <c r="B83" s="283"/>
      <c r="C83" s="283"/>
      <c r="E83" s="283"/>
      <c r="G83" s="283"/>
      <c r="I83" s="283"/>
      <c r="K83" s="283"/>
      <c r="M83" s="283"/>
    </row>
    <row r="84" ht="15.75" customHeight="1">
      <c r="A84" s="283"/>
      <c r="B84" s="283"/>
      <c r="C84" s="283"/>
      <c r="E84" s="283"/>
      <c r="G84" s="283"/>
      <c r="I84" s="283"/>
      <c r="K84" s="283"/>
      <c r="M84" s="283"/>
    </row>
    <row r="85" ht="15.75" customHeight="1">
      <c r="A85" s="283"/>
      <c r="B85" s="283"/>
      <c r="C85" s="283"/>
      <c r="E85" s="283"/>
      <c r="G85" s="283"/>
      <c r="I85" s="283"/>
      <c r="K85" s="283"/>
      <c r="M85" s="283"/>
    </row>
    <row r="86" ht="15.75" customHeight="1">
      <c r="A86" s="283"/>
      <c r="B86" s="283"/>
      <c r="C86" s="283"/>
      <c r="E86" s="283"/>
      <c r="G86" s="283"/>
      <c r="I86" s="283"/>
      <c r="K86" s="283"/>
      <c r="M86" s="283"/>
    </row>
    <row r="87" ht="15.75" customHeight="1">
      <c r="A87" s="283"/>
      <c r="B87" s="283"/>
      <c r="C87" s="283"/>
      <c r="E87" s="283"/>
      <c r="G87" s="283"/>
      <c r="I87" s="283"/>
      <c r="K87" s="283"/>
      <c r="M87" s="283"/>
    </row>
    <row r="88" ht="15.75" customHeight="1">
      <c r="A88" s="283"/>
      <c r="B88" s="283"/>
      <c r="C88" s="283"/>
      <c r="E88" s="283"/>
      <c r="G88" s="283"/>
      <c r="I88" s="283"/>
      <c r="K88" s="283"/>
      <c r="M88" s="283"/>
    </row>
    <row r="89" ht="15.75" customHeight="1">
      <c r="A89" s="283"/>
      <c r="B89" s="283"/>
      <c r="C89" s="283"/>
      <c r="E89" s="283"/>
      <c r="G89" s="283"/>
      <c r="I89" s="283"/>
      <c r="K89" s="283"/>
      <c r="M89" s="283"/>
    </row>
    <row r="90" ht="15.75" customHeight="1">
      <c r="A90" s="283"/>
      <c r="B90" s="283"/>
      <c r="C90" s="283"/>
      <c r="E90" s="283"/>
      <c r="G90" s="283"/>
      <c r="I90" s="283"/>
      <c r="K90" s="283"/>
      <c r="M90" s="283"/>
    </row>
    <row r="91" ht="15.75" customHeight="1">
      <c r="A91" s="283"/>
      <c r="B91" s="283"/>
      <c r="C91" s="283"/>
      <c r="E91" s="283"/>
      <c r="G91" s="283"/>
      <c r="I91" s="283"/>
      <c r="K91" s="283"/>
      <c r="M91" s="283"/>
    </row>
    <row r="92" ht="15.75" customHeight="1">
      <c r="A92" s="283"/>
      <c r="B92" s="283"/>
      <c r="C92" s="283"/>
      <c r="E92" s="283"/>
      <c r="G92" s="283"/>
      <c r="I92" s="283"/>
      <c r="K92" s="283"/>
      <c r="M92" s="283"/>
    </row>
    <row r="93" ht="15.75" customHeight="1">
      <c r="A93" s="283"/>
      <c r="B93" s="283"/>
      <c r="C93" s="283"/>
      <c r="E93" s="283"/>
      <c r="G93" s="283"/>
      <c r="I93" s="283"/>
      <c r="K93" s="283"/>
      <c r="M93" s="283"/>
    </row>
    <row r="94" ht="15.75" customHeight="1">
      <c r="A94" s="283"/>
      <c r="B94" s="283"/>
      <c r="C94" s="283"/>
      <c r="E94" s="283"/>
      <c r="G94" s="283"/>
      <c r="I94" s="283"/>
      <c r="K94" s="283"/>
      <c r="M94" s="283"/>
    </row>
    <row r="95" ht="15.75" customHeight="1">
      <c r="A95" s="283"/>
      <c r="B95" s="283"/>
      <c r="C95" s="283"/>
      <c r="E95" s="283"/>
      <c r="G95" s="283"/>
      <c r="I95" s="283"/>
      <c r="K95" s="283"/>
      <c r="M95" s="283"/>
    </row>
    <row r="96" ht="15.75" customHeight="1">
      <c r="A96" s="283"/>
      <c r="B96" s="283"/>
      <c r="C96" s="283"/>
      <c r="E96" s="283"/>
      <c r="G96" s="283"/>
      <c r="I96" s="283"/>
      <c r="K96" s="283"/>
      <c r="M96" s="283"/>
    </row>
    <row r="97" ht="15.75" customHeight="1">
      <c r="A97" s="283"/>
      <c r="B97" s="283"/>
      <c r="C97" s="283"/>
      <c r="E97" s="283"/>
      <c r="G97" s="283"/>
      <c r="I97" s="283"/>
      <c r="K97" s="283"/>
      <c r="M97" s="283"/>
    </row>
    <row r="98" ht="15.75" customHeight="1">
      <c r="A98" s="283"/>
      <c r="B98" s="283"/>
      <c r="C98" s="283"/>
      <c r="E98" s="283"/>
      <c r="G98" s="283"/>
      <c r="I98" s="283"/>
      <c r="K98" s="283"/>
      <c r="M98" s="283"/>
    </row>
    <row r="99" ht="15.75" customHeight="1">
      <c r="A99" s="283"/>
      <c r="B99" s="283"/>
      <c r="C99" s="283"/>
      <c r="E99" s="283"/>
      <c r="G99" s="283"/>
      <c r="I99" s="283"/>
      <c r="K99" s="283"/>
      <c r="M99" s="283"/>
    </row>
    <row r="100" ht="15.75" customHeight="1">
      <c r="A100" s="283"/>
      <c r="B100" s="283"/>
      <c r="C100" s="283"/>
      <c r="E100" s="283"/>
      <c r="G100" s="283"/>
      <c r="I100" s="283"/>
      <c r="K100" s="283"/>
      <c r="M100" s="283"/>
    </row>
    <row r="101" ht="15.75" customHeight="1">
      <c r="A101" s="283"/>
      <c r="B101" s="283"/>
      <c r="C101" s="283"/>
      <c r="E101" s="283"/>
      <c r="G101" s="283"/>
      <c r="I101" s="283"/>
      <c r="K101" s="283"/>
      <c r="M101" s="283"/>
    </row>
    <row r="102" ht="15.75" customHeight="1">
      <c r="A102" s="283"/>
      <c r="B102" s="283"/>
      <c r="C102" s="283"/>
      <c r="E102" s="283"/>
      <c r="G102" s="283"/>
      <c r="I102" s="283"/>
      <c r="K102" s="283"/>
      <c r="M102" s="283"/>
    </row>
    <row r="103" ht="15.75" customHeight="1">
      <c r="A103" s="283"/>
      <c r="B103" s="283"/>
      <c r="C103" s="283"/>
      <c r="E103" s="283"/>
      <c r="G103" s="283"/>
      <c r="I103" s="283"/>
      <c r="K103" s="283"/>
      <c r="M103" s="283"/>
    </row>
    <row r="104" ht="15.75" customHeight="1">
      <c r="A104" s="283"/>
      <c r="B104" s="283"/>
      <c r="C104" s="283"/>
      <c r="E104" s="283"/>
      <c r="G104" s="283"/>
      <c r="I104" s="283"/>
      <c r="K104" s="283"/>
      <c r="M104" s="283"/>
    </row>
    <row r="105" ht="15.75" customHeight="1">
      <c r="A105" s="283"/>
      <c r="B105" s="283"/>
      <c r="C105" s="283"/>
      <c r="E105" s="283"/>
      <c r="G105" s="283"/>
      <c r="I105" s="283"/>
      <c r="K105" s="283"/>
      <c r="M105" s="283"/>
    </row>
    <row r="106" ht="15.75" customHeight="1">
      <c r="A106" s="283"/>
      <c r="B106" s="283"/>
      <c r="C106" s="283"/>
      <c r="E106" s="283"/>
      <c r="G106" s="283"/>
      <c r="I106" s="283"/>
      <c r="K106" s="283"/>
      <c r="M106" s="283"/>
    </row>
    <row r="107" ht="15.75" customHeight="1">
      <c r="A107" s="283"/>
      <c r="B107" s="283"/>
      <c r="C107" s="283"/>
      <c r="E107" s="283"/>
      <c r="G107" s="283"/>
      <c r="I107" s="283"/>
      <c r="K107" s="283"/>
      <c r="M107" s="283"/>
    </row>
    <row r="108" ht="15.75" customHeight="1">
      <c r="A108" s="283"/>
      <c r="B108" s="283"/>
      <c r="C108" s="283"/>
      <c r="E108" s="283"/>
      <c r="G108" s="283"/>
      <c r="I108" s="283"/>
      <c r="K108" s="283"/>
      <c r="M108" s="283"/>
    </row>
    <row r="109" ht="15.75" customHeight="1">
      <c r="A109" s="283"/>
      <c r="B109" s="283"/>
      <c r="C109" s="283"/>
      <c r="E109" s="283"/>
      <c r="G109" s="283"/>
      <c r="I109" s="283"/>
      <c r="K109" s="283"/>
      <c r="M109" s="283"/>
    </row>
    <row r="110" ht="15.75" customHeight="1">
      <c r="A110" s="283"/>
      <c r="B110" s="283"/>
      <c r="C110" s="283"/>
      <c r="E110" s="283"/>
      <c r="G110" s="283"/>
      <c r="I110" s="283"/>
      <c r="K110" s="283"/>
      <c r="M110" s="283"/>
    </row>
    <row r="111" ht="15.75" customHeight="1">
      <c r="A111" s="283"/>
      <c r="B111" s="283"/>
      <c r="C111" s="283"/>
      <c r="E111" s="283"/>
      <c r="G111" s="283"/>
      <c r="I111" s="283"/>
      <c r="K111" s="283"/>
      <c r="M111" s="283"/>
    </row>
    <row r="112" ht="15.75" customHeight="1">
      <c r="A112" s="283"/>
      <c r="B112" s="283"/>
      <c r="C112" s="283"/>
      <c r="E112" s="283"/>
      <c r="G112" s="283"/>
      <c r="I112" s="283"/>
      <c r="K112" s="283"/>
      <c r="M112" s="283"/>
    </row>
    <row r="113" ht="15.75" customHeight="1">
      <c r="A113" s="283"/>
      <c r="B113" s="283"/>
      <c r="C113" s="283"/>
      <c r="E113" s="283"/>
      <c r="G113" s="283"/>
      <c r="I113" s="283"/>
      <c r="K113" s="283"/>
      <c r="M113" s="283"/>
    </row>
    <row r="114" ht="15.75" customHeight="1">
      <c r="A114" s="283"/>
      <c r="B114" s="283"/>
      <c r="C114" s="283"/>
      <c r="E114" s="283"/>
      <c r="G114" s="283"/>
      <c r="I114" s="283"/>
      <c r="K114" s="283"/>
      <c r="M114" s="283"/>
    </row>
    <row r="115" ht="15.75" customHeight="1">
      <c r="A115" s="283"/>
      <c r="B115" s="283"/>
      <c r="C115" s="283"/>
      <c r="E115" s="283"/>
      <c r="G115" s="283"/>
      <c r="I115" s="283"/>
      <c r="K115" s="283"/>
      <c r="M115" s="283"/>
    </row>
    <row r="116" ht="15.75" customHeight="1">
      <c r="A116" s="283"/>
      <c r="B116" s="283"/>
      <c r="C116" s="283"/>
      <c r="E116" s="283"/>
      <c r="G116" s="283"/>
      <c r="I116" s="283"/>
      <c r="K116" s="283"/>
      <c r="M116" s="283"/>
    </row>
    <row r="117" ht="15.75" customHeight="1">
      <c r="A117" s="283"/>
      <c r="B117" s="283"/>
      <c r="C117" s="283"/>
      <c r="E117" s="283"/>
      <c r="G117" s="283"/>
      <c r="I117" s="283"/>
      <c r="K117" s="283"/>
      <c r="M117" s="283"/>
    </row>
    <row r="118" ht="15.75" customHeight="1">
      <c r="A118" s="283"/>
      <c r="B118" s="283"/>
      <c r="C118" s="283"/>
      <c r="E118" s="283"/>
      <c r="G118" s="283"/>
      <c r="I118" s="283"/>
      <c r="K118" s="283"/>
      <c r="M118" s="283"/>
    </row>
    <row r="119" ht="15.75" customHeight="1">
      <c r="A119" s="283"/>
      <c r="B119" s="283"/>
      <c r="C119" s="283"/>
      <c r="E119" s="283"/>
      <c r="G119" s="283"/>
      <c r="I119" s="283"/>
      <c r="K119" s="283"/>
      <c r="M119" s="283"/>
    </row>
    <row r="120" ht="15.75" customHeight="1">
      <c r="A120" s="283"/>
      <c r="B120" s="283"/>
      <c r="C120" s="283"/>
      <c r="E120" s="283"/>
      <c r="G120" s="283"/>
      <c r="I120" s="283"/>
      <c r="K120" s="283"/>
      <c r="M120" s="283"/>
    </row>
    <row r="121" ht="15.75" customHeight="1">
      <c r="A121" s="283"/>
      <c r="B121" s="283"/>
      <c r="C121" s="283"/>
      <c r="E121" s="283"/>
      <c r="G121" s="283"/>
      <c r="I121" s="283"/>
      <c r="K121" s="283"/>
      <c r="M121" s="283"/>
    </row>
    <row r="122" ht="15.75" customHeight="1">
      <c r="A122" s="283"/>
      <c r="B122" s="283"/>
      <c r="C122" s="283"/>
      <c r="E122" s="283"/>
      <c r="G122" s="283"/>
      <c r="I122" s="283"/>
      <c r="K122" s="283"/>
      <c r="M122" s="283"/>
    </row>
    <row r="123" ht="15.75" customHeight="1">
      <c r="A123" s="283"/>
      <c r="B123" s="283"/>
      <c r="C123" s="283"/>
      <c r="E123" s="283"/>
      <c r="G123" s="283"/>
      <c r="I123" s="283"/>
      <c r="K123" s="283"/>
      <c r="M123" s="283"/>
    </row>
    <row r="124" ht="15.75" customHeight="1">
      <c r="A124" s="283"/>
      <c r="B124" s="283"/>
      <c r="C124" s="283"/>
      <c r="E124" s="283"/>
      <c r="G124" s="283"/>
      <c r="I124" s="283"/>
      <c r="K124" s="283"/>
      <c r="M124" s="283"/>
    </row>
    <row r="125" ht="15.75" customHeight="1">
      <c r="A125" s="283"/>
      <c r="B125" s="283"/>
      <c r="C125" s="283"/>
      <c r="E125" s="283"/>
      <c r="G125" s="283"/>
      <c r="I125" s="283"/>
      <c r="K125" s="283"/>
      <c r="M125" s="283"/>
    </row>
    <row r="126" ht="15.75" customHeight="1">
      <c r="A126" s="283"/>
      <c r="B126" s="283"/>
      <c r="C126" s="283"/>
      <c r="E126" s="283"/>
      <c r="G126" s="283"/>
      <c r="I126" s="283"/>
      <c r="K126" s="283"/>
      <c r="M126" s="283"/>
    </row>
    <row r="127" ht="15.75" customHeight="1">
      <c r="A127" s="283"/>
      <c r="B127" s="283"/>
      <c r="C127" s="283"/>
      <c r="E127" s="283"/>
      <c r="G127" s="283"/>
      <c r="I127" s="283"/>
      <c r="K127" s="283"/>
      <c r="M127" s="283"/>
    </row>
    <row r="128" ht="15.75" customHeight="1">
      <c r="A128" s="283"/>
      <c r="B128" s="283"/>
      <c r="C128" s="283"/>
      <c r="E128" s="283"/>
      <c r="G128" s="283"/>
      <c r="I128" s="283"/>
      <c r="K128" s="283"/>
      <c r="M128" s="283"/>
    </row>
    <row r="129" ht="15.75" customHeight="1">
      <c r="A129" s="283"/>
      <c r="B129" s="283"/>
      <c r="C129" s="283"/>
      <c r="E129" s="283"/>
      <c r="G129" s="283"/>
      <c r="I129" s="283"/>
      <c r="K129" s="283"/>
      <c r="M129" s="283"/>
    </row>
    <row r="130" ht="15.75" customHeight="1">
      <c r="A130" s="283"/>
      <c r="B130" s="283"/>
      <c r="C130" s="283"/>
      <c r="E130" s="283"/>
      <c r="G130" s="283"/>
      <c r="I130" s="283"/>
      <c r="K130" s="283"/>
      <c r="M130" s="283"/>
    </row>
    <row r="131" ht="15.75" customHeight="1">
      <c r="A131" s="283"/>
      <c r="B131" s="283"/>
      <c r="C131" s="283"/>
      <c r="E131" s="283"/>
      <c r="G131" s="283"/>
      <c r="I131" s="283"/>
      <c r="K131" s="283"/>
      <c r="M131" s="283"/>
    </row>
    <row r="132" ht="15.75" customHeight="1">
      <c r="A132" s="283"/>
      <c r="B132" s="283"/>
      <c r="C132" s="283"/>
      <c r="E132" s="283"/>
      <c r="G132" s="283"/>
      <c r="I132" s="283"/>
      <c r="K132" s="283"/>
      <c r="M132" s="283"/>
    </row>
    <row r="133" ht="15.75" customHeight="1">
      <c r="A133" s="283"/>
      <c r="B133" s="283"/>
      <c r="C133" s="283"/>
      <c r="E133" s="283"/>
      <c r="G133" s="283"/>
      <c r="I133" s="283"/>
      <c r="K133" s="283"/>
      <c r="M133" s="283"/>
    </row>
    <row r="134" ht="15.75" customHeight="1">
      <c r="A134" s="283"/>
      <c r="B134" s="283"/>
      <c r="C134" s="283"/>
      <c r="E134" s="283"/>
      <c r="G134" s="283"/>
      <c r="I134" s="283"/>
      <c r="K134" s="283"/>
      <c r="M134" s="283"/>
    </row>
    <row r="135" ht="15.75" customHeight="1">
      <c r="A135" s="283"/>
      <c r="B135" s="283"/>
      <c r="C135" s="283"/>
      <c r="E135" s="283"/>
      <c r="G135" s="283"/>
      <c r="I135" s="283"/>
      <c r="K135" s="283"/>
      <c r="M135" s="283"/>
    </row>
    <row r="136" ht="15.75" customHeight="1">
      <c r="A136" s="283"/>
      <c r="B136" s="283"/>
      <c r="C136" s="283"/>
      <c r="E136" s="283"/>
      <c r="G136" s="283"/>
      <c r="I136" s="283"/>
      <c r="K136" s="283"/>
      <c r="M136" s="283"/>
    </row>
    <row r="137" ht="15.75" customHeight="1">
      <c r="A137" s="283"/>
      <c r="B137" s="283"/>
      <c r="C137" s="283"/>
      <c r="E137" s="283"/>
      <c r="G137" s="283"/>
      <c r="I137" s="283"/>
      <c r="K137" s="283"/>
      <c r="M137" s="283"/>
    </row>
    <row r="138" ht="15.75" customHeight="1">
      <c r="A138" s="283"/>
      <c r="B138" s="283"/>
      <c r="C138" s="283"/>
      <c r="E138" s="283"/>
      <c r="G138" s="283"/>
      <c r="I138" s="283"/>
      <c r="K138" s="283"/>
      <c r="M138" s="283"/>
    </row>
    <row r="139" ht="15.75" customHeight="1">
      <c r="A139" s="283"/>
      <c r="B139" s="283"/>
      <c r="C139" s="283"/>
      <c r="E139" s="283"/>
      <c r="G139" s="283"/>
      <c r="I139" s="283"/>
      <c r="K139" s="283"/>
      <c r="M139" s="283"/>
    </row>
    <row r="140" ht="15.75" customHeight="1">
      <c r="A140" s="283"/>
      <c r="B140" s="283"/>
      <c r="C140" s="283"/>
      <c r="E140" s="283"/>
      <c r="G140" s="283"/>
      <c r="I140" s="283"/>
      <c r="K140" s="283"/>
      <c r="M140" s="283"/>
    </row>
    <row r="141" ht="15.75" customHeight="1">
      <c r="A141" s="283"/>
      <c r="B141" s="283"/>
      <c r="C141" s="283"/>
      <c r="E141" s="283"/>
      <c r="G141" s="283"/>
      <c r="I141" s="283"/>
      <c r="K141" s="283"/>
      <c r="M141" s="283"/>
    </row>
    <row r="142" ht="15.75" customHeight="1">
      <c r="A142" s="283"/>
      <c r="B142" s="283"/>
      <c r="C142" s="283"/>
      <c r="E142" s="283"/>
      <c r="G142" s="283"/>
      <c r="I142" s="283"/>
      <c r="K142" s="283"/>
      <c r="M142" s="283"/>
    </row>
    <row r="143" ht="15.75" customHeight="1">
      <c r="A143" s="283"/>
      <c r="B143" s="283"/>
      <c r="C143" s="283"/>
      <c r="E143" s="283"/>
      <c r="G143" s="283"/>
      <c r="I143" s="283"/>
      <c r="K143" s="283"/>
      <c r="M143" s="283"/>
    </row>
    <row r="144" ht="15.75" customHeight="1">
      <c r="A144" s="283"/>
      <c r="B144" s="283"/>
      <c r="C144" s="283"/>
      <c r="E144" s="283"/>
      <c r="G144" s="283"/>
      <c r="I144" s="283"/>
      <c r="K144" s="283"/>
      <c r="M144" s="283"/>
    </row>
    <row r="145" ht="15.75" customHeight="1">
      <c r="A145" s="283"/>
      <c r="B145" s="283"/>
      <c r="C145" s="283"/>
      <c r="E145" s="283"/>
      <c r="G145" s="283"/>
      <c r="I145" s="283"/>
      <c r="K145" s="283"/>
      <c r="M145" s="283"/>
    </row>
    <row r="146" ht="15.75" customHeight="1">
      <c r="A146" s="283"/>
      <c r="B146" s="283"/>
      <c r="C146" s="283"/>
      <c r="E146" s="283"/>
      <c r="G146" s="283"/>
      <c r="I146" s="283"/>
      <c r="K146" s="283"/>
      <c r="M146" s="283"/>
    </row>
    <row r="147" ht="15.75" customHeight="1">
      <c r="A147" s="283"/>
      <c r="B147" s="283"/>
      <c r="C147" s="283"/>
      <c r="E147" s="283"/>
      <c r="G147" s="283"/>
      <c r="I147" s="283"/>
      <c r="K147" s="283"/>
      <c r="M147" s="283"/>
    </row>
    <row r="148" ht="15.75" customHeight="1">
      <c r="A148" s="283"/>
      <c r="B148" s="283"/>
      <c r="C148" s="283"/>
      <c r="E148" s="283"/>
      <c r="G148" s="283"/>
      <c r="I148" s="283"/>
      <c r="K148" s="283"/>
      <c r="M148" s="283"/>
    </row>
    <row r="149" ht="15.75" customHeight="1">
      <c r="A149" s="283"/>
      <c r="B149" s="283"/>
      <c r="C149" s="283"/>
      <c r="E149" s="283"/>
      <c r="G149" s="283"/>
      <c r="I149" s="283"/>
      <c r="K149" s="283"/>
      <c r="M149" s="283"/>
    </row>
    <row r="150" ht="15.75" customHeight="1">
      <c r="A150" s="283"/>
      <c r="B150" s="283"/>
      <c r="C150" s="283"/>
      <c r="E150" s="283"/>
      <c r="G150" s="283"/>
      <c r="I150" s="283"/>
      <c r="K150" s="283"/>
      <c r="M150" s="283"/>
    </row>
    <row r="151" ht="15.75" customHeight="1">
      <c r="A151" s="283"/>
      <c r="B151" s="283"/>
      <c r="C151" s="283"/>
      <c r="E151" s="283"/>
      <c r="G151" s="283"/>
      <c r="I151" s="283"/>
      <c r="K151" s="283"/>
      <c r="M151" s="283"/>
    </row>
    <row r="152" ht="15.75" customHeight="1">
      <c r="A152" s="283"/>
      <c r="B152" s="283"/>
      <c r="C152" s="283"/>
      <c r="E152" s="283"/>
      <c r="G152" s="283"/>
      <c r="I152" s="283"/>
      <c r="K152" s="283"/>
      <c r="M152" s="283"/>
    </row>
    <row r="153" ht="15.75" customHeight="1">
      <c r="A153" s="283"/>
      <c r="B153" s="283"/>
      <c r="C153" s="283"/>
      <c r="E153" s="283"/>
      <c r="G153" s="283"/>
      <c r="I153" s="283"/>
      <c r="K153" s="283"/>
      <c r="M153" s="283"/>
    </row>
    <row r="154" ht="15.75" customHeight="1">
      <c r="A154" s="283"/>
      <c r="B154" s="283"/>
      <c r="C154" s="283"/>
      <c r="E154" s="283"/>
      <c r="G154" s="283"/>
      <c r="I154" s="283"/>
      <c r="K154" s="283"/>
      <c r="M154" s="283"/>
    </row>
    <row r="155" ht="15.75" customHeight="1">
      <c r="A155" s="283"/>
      <c r="B155" s="283"/>
      <c r="C155" s="283"/>
      <c r="E155" s="283"/>
      <c r="G155" s="283"/>
      <c r="I155" s="283"/>
      <c r="K155" s="283"/>
      <c r="M155" s="283"/>
    </row>
    <row r="156" ht="15.75" customHeight="1">
      <c r="A156" s="283"/>
      <c r="B156" s="283"/>
      <c r="C156" s="283"/>
      <c r="E156" s="283"/>
      <c r="G156" s="283"/>
      <c r="I156" s="283"/>
      <c r="K156" s="283"/>
      <c r="M156" s="283"/>
    </row>
    <row r="157" ht="15.75" customHeight="1">
      <c r="A157" s="283"/>
      <c r="B157" s="283"/>
      <c r="C157" s="283"/>
      <c r="E157" s="283"/>
      <c r="G157" s="283"/>
      <c r="I157" s="283"/>
      <c r="K157" s="283"/>
      <c r="M157" s="283"/>
    </row>
    <row r="158" ht="15.75" customHeight="1">
      <c r="A158" s="283"/>
      <c r="B158" s="283"/>
      <c r="C158" s="283"/>
      <c r="E158" s="283"/>
      <c r="G158" s="283"/>
      <c r="I158" s="283"/>
      <c r="K158" s="283"/>
      <c r="M158" s="283"/>
    </row>
    <row r="159" ht="15.75" customHeight="1">
      <c r="A159" s="283"/>
      <c r="B159" s="283"/>
      <c r="C159" s="283"/>
      <c r="E159" s="283"/>
      <c r="G159" s="283"/>
      <c r="I159" s="283"/>
      <c r="K159" s="283"/>
      <c r="M159" s="283"/>
    </row>
    <row r="160" ht="15.75" customHeight="1">
      <c r="A160" s="283"/>
      <c r="B160" s="283"/>
      <c r="C160" s="283"/>
      <c r="E160" s="283"/>
      <c r="G160" s="283"/>
      <c r="I160" s="283"/>
      <c r="K160" s="283"/>
      <c r="M160" s="283"/>
    </row>
    <row r="161" ht="15.75" customHeight="1">
      <c r="A161" s="283"/>
      <c r="B161" s="283"/>
      <c r="C161" s="283"/>
      <c r="E161" s="283"/>
      <c r="G161" s="283"/>
      <c r="I161" s="283"/>
      <c r="K161" s="283"/>
      <c r="M161" s="283"/>
    </row>
    <row r="162" ht="15.75" customHeight="1">
      <c r="A162" s="283"/>
      <c r="B162" s="283"/>
      <c r="C162" s="283"/>
      <c r="E162" s="283"/>
      <c r="G162" s="283"/>
      <c r="I162" s="283"/>
      <c r="K162" s="283"/>
      <c r="M162" s="283"/>
    </row>
    <row r="163" ht="15.75" customHeight="1">
      <c r="A163" s="283"/>
      <c r="B163" s="283"/>
      <c r="C163" s="283"/>
      <c r="E163" s="283"/>
      <c r="G163" s="283"/>
      <c r="I163" s="283"/>
      <c r="K163" s="283"/>
      <c r="M163" s="283"/>
    </row>
    <row r="164" ht="15.75" customHeight="1">
      <c r="A164" s="283"/>
      <c r="B164" s="283"/>
      <c r="C164" s="283"/>
      <c r="E164" s="283"/>
      <c r="G164" s="283"/>
      <c r="I164" s="283"/>
      <c r="K164" s="283"/>
      <c r="M164" s="283"/>
    </row>
    <row r="165" ht="15.75" customHeight="1">
      <c r="A165" s="283"/>
      <c r="B165" s="283"/>
      <c r="C165" s="283"/>
      <c r="E165" s="283"/>
      <c r="G165" s="283"/>
      <c r="I165" s="283"/>
      <c r="K165" s="283"/>
      <c r="M165" s="283"/>
    </row>
    <row r="166" ht="15.75" customHeight="1">
      <c r="A166" s="283"/>
      <c r="B166" s="283"/>
      <c r="C166" s="283"/>
      <c r="E166" s="283"/>
      <c r="G166" s="283"/>
      <c r="I166" s="283"/>
      <c r="K166" s="283"/>
      <c r="M166" s="283"/>
    </row>
    <row r="167" ht="15.75" customHeight="1">
      <c r="A167" s="283"/>
      <c r="B167" s="283"/>
      <c r="C167" s="283"/>
      <c r="E167" s="283"/>
      <c r="G167" s="283"/>
      <c r="I167" s="283"/>
      <c r="K167" s="283"/>
      <c r="M167" s="283"/>
    </row>
    <row r="168" ht="15.75" customHeight="1">
      <c r="A168" s="283"/>
      <c r="B168" s="283"/>
      <c r="C168" s="283"/>
      <c r="E168" s="283"/>
      <c r="G168" s="283"/>
      <c r="I168" s="283"/>
      <c r="K168" s="283"/>
      <c r="M168" s="283"/>
    </row>
    <row r="169" ht="15.75" customHeight="1">
      <c r="A169" s="283"/>
      <c r="B169" s="283"/>
      <c r="C169" s="283"/>
      <c r="E169" s="283"/>
      <c r="G169" s="283"/>
      <c r="I169" s="283"/>
      <c r="K169" s="283"/>
      <c r="M169" s="283"/>
    </row>
    <row r="170" ht="15.75" customHeight="1">
      <c r="A170" s="283"/>
      <c r="B170" s="283"/>
      <c r="C170" s="283"/>
      <c r="E170" s="283"/>
      <c r="G170" s="283"/>
      <c r="I170" s="283"/>
      <c r="K170" s="283"/>
      <c r="M170" s="283"/>
    </row>
    <row r="171" ht="15.75" customHeight="1">
      <c r="A171" s="283"/>
      <c r="B171" s="283"/>
      <c r="C171" s="283"/>
      <c r="E171" s="283"/>
      <c r="G171" s="283"/>
      <c r="I171" s="283"/>
      <c r="K171" s="283"/>
      <c r="M171" s="283"/>
    </row>
    <row r="172" ht="15.75" customHeight="1">
      <c r="A172" s="283"/>
      <c r="B172" s="283"/>
      <c r="C172" s="283"/>
      <c r="E172" s="283"/>
      <c r="G172" s="283"/>
      <c r="I172" s="283"/>
      <c r="K172" s="283"/>
      <c r="M172" s="283"/>
    </row>
    <row r="173" ht="15.75" customHeight="1">
      <c r="A173" s="283"/>
      <c r="B173" s="283"/>
      <c r="C173" s="283"/>
      <c r="E173" s="283"/>
      <c r="G173" s="283"/>
      <c r="I173" s="283"/>
      <c r="K173" s="283"/>
      <c r="M173" s="283"/>
    </row>
    <row r="174" ht="15.75" customHeight="1">
      <c r="A174" s="283"/>
      <c r="B174" s="283"/>
      <c r="C174" s="283"/>
      <c r="E174" s="283"/>
      <c r="G174" s="283"/>
      <c r="I174" s="283"/>
      <c r="K174" s="283"/>
      <c r="M174" s="283"/>
    </row>
    <row r="175" ht="15.75" customHeight="1">
      <c r="A175" s="283"/>
      <c r="B175" s="283"/>
      <c r="C175" s="283"/>
      <c r="E175" s="283"/>
      <c r="G175" s="283"/>
      <c r="I175" s="283"/>
      <c r="K175" s="283"/>
      <c r="M175" s="283"/>
    </row>
    <row r="176" ht="15.75" customHeight="1">
      <c r="A176" s="283"/>
      <c r="B176" s="283"/>
      <c r="C176" s="283"/>
      <c r="E176" s="283"/>
      <c r="G176" s="283"/>
      <c r="I176" s="283"/>
      <c r="K176" s="283"/>
      <c r="M176" s="283"/>
    </row>
    <row r="177" ht="15.75" customHeight="1">
      <c r="A177" s="283"/>
      <c r="B177" s="283"/>
      <c r="C177" s="283"/>
      <c r="E177" s="283"/>
      <c r="G177" s="283"/>
      <c r="I177" s="283"/>
      <c r="K177" s="283"/>
      <c r="M177" s="283"/>
    </row>
    <row r="178" ht="15.75" customHeight="1">
      <c r="A178" s="283"/>
      <c r="B178" s="283"/>
      <c r="C178" s="283"/>
      <c r="E178" s="283"/>
      <c r="G178" s="283"/>
      <c r="I178" s="283"/>
      <c r="K178" s="283"/>
      <c r="M178" s="283"/>
    </row>
    <row r="179" ht="15.75" customHeight="1">
      <c r="A179" s="283"/>
      <c r="B179" s="283"/>
      <c r="C179" s="283"/>
      <c r="E179" s="283"/>
      <c r="G179" s="283"/>
      <c r="I179" s="283"/>
      <c r="K179" s="283"/>
      <c r="M179" s="283"/>
    </row>
    <row r="180" ht="15.75" customHeight="1">
      <c r="A180" s="283"/>
      <c r="B180" s="283"/>
      <c r="C180" s="283"/>
      <c r="E180" s="283"/>
      <c r="G180" s="283"/>
      <c r="I180" s="283"/>
      <c r="K180" s="283"/>
      <c r="M180" s="283"/>
    </row>
    <row r="181" ht="15.75" customHeight="1">
      <c r="A181" s="283"/>
      <c r="B181" s="283"/>
      <c r="C181" s="283"/>
      <c r="E181" s="283"/>
      <c r="G181" s="283"/>
      <c r="I181" s="283"/>
      <c r="K181" s="283"/>
      <c r="M181" s="283"/>
    </row>
    <row r="182" ht="15.75" customHeight="1">
      <c r="A182" s="283"/>
      <c r="B182" s="283"/>
      <c r="C182" s="283"/>
      <c r="E182" s="283"/>
      <c r="G182" s="283"/>
      <c r="I182" s="283"/>
      <c r="K182" s="283"/>
      <c r="M182" s="283"/>
    </row>
    <row r="183" ht="15.75" customHeight="1">
      <c r="A183" s="283"/>
      <c r="B183" s="283"/>
      <c r="C183" s="283"/>
      <c r="E183" s="283"/>
      <c r="G183" s="283"/>
      <c r="I183" s="283"/>
      <c r="K183" s="283"/>
      <c r="M183" s="283"/>
    </row>
    <row r="184" ht="15.75" customHeight="1">
      <c r="A184" s="283"/>
      <c r="B184" s="283"/>
      <c r="C184" s="283"/>
      <c r="E184" s="283"/>
      <c r="G184" s="283"/>
      <c r="I184" s="283"/>
      <c r="K184" s="283"/>
      <c r="M184" s="283"/>
    </row>
    <row r="185" ht="15.75" customHeight="1">
      <c r="A185" s="283"/>
      <c r="B185" s="283"/>
      <c r="C185" s="283"/>
      <c r="E185" s="283"/>
      <c r="G185" s="283"/>
      <c r="I185" s="283"/>
      <c r="K185" s="283"/>
      <c r="M185" s="283"/>
    </row>
    <row r="186" ht="15.75" customHeight="1">
      <c r="A186" s="283"/>
      <c r="B186" s="283"/>
      <c r="C186" s="283"/>
      <c r="E186" s="283"/>
      <c r="G186" s="283"/>
      <c r="I186" s="283"/>
      <c r="K186" s="283"/>
      <c r="M186" s="283"/>
    </row>
    <row r="187" ht="15.75" customHeight="1">
      <c r="A187" s="283"/>
      <c r="B187" s="283"/>
      <c r="C187" s="283"/>
      <c r="E187" s="283"/>
      <c r="G187" s="283"/>
      <c r="I187" s="283"/>
      <c r="K187" s="283"/>
      <c r="M187" s="283"/>
    </row>
    <row r="188" ht="15.75" customHeight="1">
      <c r="A188" s="283"/>
      <c r="B188" s="283"/>
      <c r="C188" s="283"/>
      <c r="E188" s="283"/>
      <c r="G188" s="283"/>
      <c r="I188" s="283"/>
      <c r="K188" s="283"/>
      <c r="M188" s="283"/>
    </row>
    <row r="189" ht="15.75" customHeight="1">
      <c r="A189" s="283"/>
      <c r="B189" s="283"/>
      <c r="C189" s="283"/>
      <c r="E189" s="283"/>
      <c r="G189" s="283"/>
      <c r="I189" s="283"/>
      <c r="K189" s="283"/>
      <c r="M189" s="283"/>
    </row>
    <row r="190" ht="15.75" customHeight="1">
      <c r="A190" s="283"/>
      <c r="B190" s="283"/>
      <c r="C190" s="283"/>
      <c r="E190" s="283"/>
      <c r="G190" s="283"/>
      <c r="I190" s="283"/>
      <c r="K190" s="283"/>
      <c r="M190" s="283"/>
    </row>
    <row r="191" ht="15.75" customHeight="1">
      <c r="A191" s="283"/>
      <c r="B191" s="283"/>
      <c r="C191" s="283"/>
      <c r="E191" s="283"/>
      <c r="G191" s="283"/>
      <c r="I191" s="283"/>
      <c r="K191" s="283"/>
      <c r="M191" s="283"/>
    </row>
    <row r="192" ht="15.75" customHeight="1">
      <c r="A192" s="283"/>
      <c r="B192" s="283"/>
      <c r="C192" s="283"/>
      <c r="E192" s="283"/>
      <c r="G192" s="283"/>
      <c r="I192" s="283"/>
      <c r="K192" s="283"/>
      <c r="M192" s="283"/>
    </row>
    <row r="193" ht="15.75" customHeight="1">
      <c r="A193" s="283"/>
      <c r="B193" s="283"/>
      <c r="C193" s="283"/>
      <c r="E193" s="283"/>
      <c r="G193" s="283"/>
      <c r="I193" s="283"/>
      <c r="K193" s="283"/>
      <c r="M193" s="283"/>
    </row>
    <row r="194" ht="15.75" customHeight="1">
      <c r="A194" s="283"/>
      <c r="B194" s="283"/>
      <c r="C194" s="283"/>
      <c r="E194" s="283"/>
      <c r="G194" s="283"/>
      <c r="I194" s="283"/>
      <c r="K194" s="283"/>
      <c r="M194" s="283"/>
    </row>
    <row r="195" ht="15.75" customHeight="1">
      <c r="A195" s="283"/>
      <c r="B195" s="283"/>
      <c r="C195" s="283"/>
      <c r="E195" s="283"/>
      <c r="G195" s="283"/>
      <c r="I195" s="283"/>
      <c r="K195" s="283"/>
      <c r="M195" s="283"/>
    </row>
    <row r="196" ht="15.75" customHeight="1">
      <c r="A196" s="283"/>
      <c r="B196" s="283"/>
      <c r="C196" s="283"/>
      <c r="E196" s="283"/>
      <c r="G196" s="283"/>
      <c r="I196" s="283"/>
      <c r="K196" s="283"/>
      <c r="M196" s="283"/>
    </row>
    <row r="197" ht="15.75" customHeight="1">
      <c r="A197" s="283"/>
      <c r="B197" s="283"/>
      <c r="C197" s="283"/>
      <c r="E197" s="283"/>
      <c r="G197" s="283"/>
      <c r="I197" s="283"/>
      <c r="K197" s="283"/>
      <c r="M197" s="283"/>
    </row>
    <row r="198" ht="15.75" customHeight="1">
      <c r="A198" s="283"/>
      <c r="B198" s="283"/>
      <c r="C198" s="283"/>
      <c r="E198" s="283"/>
      <c r="G198" s="283"/>
      <c r="I198" s="283"/>
      <c r="K198" s="283"/>
      <c r="M198" s="283"/>
    </row>
    <row r="199" ht="15.75" customHeight="1">
      <c r="A199" s="283"/>
      <c r="B199" s="283"/>
      <c r="C199" s="283"/>
      <c r="E199" s="283"/>
      <c r="G199" s="283"/>
      <c r="I199" s="283"/>
      <c r="K199" s="283"/>
      <c r="M199" s="283"/>
    </row>
    <row r="200" ht="15.75" customHeight="1">
      <c r="A200" s="283"/>
      <c r="B200" s="283"/>
      <c r="C200" s="283"/>
      <c r="E200" s="283"/>
      <c r="G200" s="283"/>
      <c r="I200" s="283"/>
      <c r="K200" s="283"/>
      <c r="M200" s="283"/>
    </row>
    <row r="201" ht="15.75" customHeight="1">
      <c r="A201" s="283"/>
      <c r="B201" s="283"/>
      <c r="C201" s="283"/>
      <c r="E201" s="283"/>
      <c r="G201" s="283"/>
      <c r="I201" s="283"/>
      <c r="K201" s="283"/>
      <c r="M201" s="283"/>
    </row>
    <row r="202" ht="15.75" customHeight="1">
      <c r="A202" s="283"/>
      <c r="B202" s="283"/>
      <c r="C202" s="283"/>
      <c r="E202" s="283"/>
      <c r="G202" s="283"/>
      <c r="I202" s="283"/>
      <c r="K202" s="283"/>
      <c r="M202" s="283"/>
    </row>
    <row r="203" ht="15.75" customHeight="1">
      <c r="A203" s="283"/>
      <c r="B203" s="283"/>
      <c r="C203" s="283"/>
      <c r="E203" s="283"/>
      <c r="G203" s="283"/>
      <c r="I203" s="283"/>
      <c r="K203" s="283"/>
      <c r="M203" s="283"/>
    </row>
    <row r="204" ht="15.75" customHeight="1">
      <c r="A204" s="283"/>
      <c r="B204" s="283"/>
      <c r="C204" s="283"/>
      <c r="E204" s="283"/>
      <c r="G204" s="283"/>
      <c r="I204" s="283"/>
      <c r="K204" s="283"/>
      <c r="M204" s="283"/>
    </row>
    <row r="205" ht="15.75" customHeight="1">
      <c r="A205" s="283"/>
      <c r="B205" s="283"/>
      <c r="C205" s="283"/>
      <c r="E205" s="283"/>
      <c r="G205" s="283"/>
      <c r="I205" s="283"/>
      <c r="K205" s="283"/>
      <c r="M205" s="283"/>
    </row>
    <row r="206" ht="15.75" customHeight="1">
      <c r="A206" s="283"/>
      <c r="B206" s="283"/>
      <c r="C206" s="283"/>
      <c r="E206" s="283"/>
      <c r="G206" s="283"/>
      <c r="I206" s="283"/>
      <c r="K206" s="283"/>
      <c r="M206" s="283"/>
    </row>
    <row r="207" ht="15.75" customHeight="1">
      <c r="A207" s="283"/>
      <c r="B207" s="283"/>
      <c r="C207" s="283"/>
      <c r="E207" s="283"/>
      <c r="G207" s="283"/>
      <c r="I207" s="283"/>
      <c r="K207" s="283"/>
      <c r="M207" s="283"/>
    </row>
    <row r="208" ht="15.75" customHeight="1">
      <c r="A208" s="283"/>
      <c r="B208" s="283"/>
      <c r="C208" s="283"/>
      <c r="E208" s="283"/>
      <c r="G208" s="283"/>
      <c r="I208" s="283"/>
      <c r="K208" s="283"/>
      <c r="M208" s="283"/>
    </row>
    <row r="209" ht="15.75" customHeight="1">
      <c r="A209" s="283"/>
      <c r="B209" s="283"/>
      <c r="C209" s="283"/>
      <c r="E209" s="283"/>
      <c r="G209" s="283"/>
      <c r="I209" s="283"/>
      <c r="K209" s="283"/>
      <c r="M209" s="283"/>
    </row>
    <row r="210" ht="15.75" customHeight="1">
      <c r="A210" s="283"/>
      <c r="B210" s="283"/>
      <c r="C210" s="283"/>
      <c r="E210" s="283"/>
      <c r="G210" s="283"/>
      <c r="I210" s="283"/>
      <c r="K210" s="283"/>
      <c r="M210" s="283"/>
    </row>
    <row r="211" ht="15.75" customHeight="1">
      <c r="A211" s="283"/>
      <c r="B211" s="283"/>
      <c r="C211" s="283"/>
      <c r="E211" s="283"/>
      <c r="G211" s="283"/>
      <c r="I211" s="283"/>
      <c r="K211" s="283"/>
      <c r="M211" s="283"/>
    </row>
    <row r="212" ht="15.75" customHeight="1">
      <c r="A212" s="283"/>
      <c r="B212" s="283"/>
      <c r="C212" s="283"/>
      <c r="E212" s="283"/>
      <c r="G212" s="283"/>
      <c r="I212" s="283"/>
      <c r="K212" s="283"/>
      <c r="M212" s="283"/>
    </row>
    <row r="213" ht="15.75" customHeight="1">
      <c r="A213" s="283"/>
      <c r="B213" s="283"/>
      <c r="C213" s="283"/>
      <c r="E213" s="283"/>
      <c r="G213" s="283"/>
      <c r="I213" s="283"/>
      <c r="K213" s="283"/>
      <c r="M213" s="283"/>
    </row>
    <row r="214" ht="15.75" customHeight="1">
      <c r="A214" s="283"/>
      <c r="B214" s="283"/>
      <c r="C214" s="283"/>
      <c r="E214" s="283"/>
      <c r="G214" s="283"/>
      <c r="I214" s="283"/>
      <c r="K214" s="283"/>
      <c r="M214" s="283"/>
    </row>
    <row r="215" ht="15.75" customHeight="1">
      <c r="A215" s="283"/>
      <c r="B215" s="283"/>
      <c r="C215" s="283"/>
      <c r="E215" s="283"/>
      <c r="G215" s="283"/>
      <c r="I215" s="283"/>
      <c r="K215" s="283"/>
      <c r="M215" s="283"/>
    </row>
    <row r="216" ht="15.75" customHeight="1">
      <c r="A216" s="283"/>
      <c r="B216" s="283"/>
      <c r="C216" s="283"/>
      <c r="E216" s="283"/>
      <c r="G216" s="283"/>
      <c r="I216" s="283"/>
      <c r="K216" s="283"/>
      <c r="M216" s="283"/>
    </row>
    <row r="217" ht="15.75" customHeight="1">
      <c r="A217" s="283"/>
      <c r="B217" s="283"/>
      <c r="C217" s="283"/>
      <c r="E217" s="283"/>
      <c r="G217" s="283"/>
      <c r="I217" s="283"/>
      <c r="K217" s="283"/>
      <c r="M217" s="283"/>
    </row>
    <row r="218" ht="15.75" customHeight="1">
      <c r="A218" s="283"/>
      <c r="B218" s="283"/>
      <c r="C218" s="283"/>
      <c r="E218" s="283"/>
      <c r="G218" s="283"/>
      <c r="I218" s="283"/>
      <c r="K218" s="283"/>
      <c r="M218" s="283"/>
    </row>
    <row r="219" ht="15.75" customHeight="1">
      <c r="A219" s="283"/>
      <c r="B219" s="283"/>
      <c r="C219" s="283"/>
      <c r="E219" s="283"/>
      <c r="G219" s="283"/>
      <c r="I219" s="283"/>
      <c r="K219" s="283"/>
      <c r="M219" s="283"/>
    </row>
    <row r="220" ht="15.75" customHeight="1">
      <c r="A220" s="283"/>
      <c r="B220" s="283"/>
      <c r="C220" s="283"/>
      <c r="E220" s="283"/>
      <c r="G220" s="283"/>
      <c r="I220" s="283"/>
      <c r="K220" s="283"/>
      <c r="M220" s="283"/>
    </row>
    <row r="221" ht="15.75" customHeight="1">
      <c r="A221" s="283"/>
      <c r="B221" s="283"/>
      <c r="C221" s="283"/>
      <c r="E221" s="283"/>
      <c r="G221" s="283"/>
      <c r="I221" s="283"/>
      <c r="K221" s="283"/>
      <c r="M221" s="283"/>
    </row>
    <row r="222" ht="15.75" customHeight="1">
      <c r="A222" s="283"/>
      <c r="B222" s="283"/>
      <c r="C222" s="283"/>
      <c r="E222" s="283"/>
      <c r="G222" s="283"/>
      <c r="I222" s="283"/>
      <c r="K222" s="283"/>
      <c r="M222" s="283"/>
    </row>
    <row r="223" ht="15.75" customHeight="1">
      <c r="A223" s="283"/>
      <c r="B223" s="283"/>
      <c r="C223" s="283"/>
      <c r="E223" s="283"/>
      <c r="G223" s="283"/>
      <c r="I223" s="283"/>
      <c r="K223" s="283"/>
      <c r="M223" s="283"/>
    </row>
    <row r="224" ht="15.75" customHeight="1">
      <c r="A224" s="283"/>
      <c r="B224" s="283"/>
      <c r="C224" s="283"/>
      <c r="E224" s="283"/>
      <c r="G224" s="283"/>
      <c r="I224" s="283"/>
      <c r="K224" s="283"/>
      <c r="M224" s="283"/>
    </row>
    <row r="225" ht="15.75" customHeight="1">
      <c r="A225" s="283"/>
      <c r="B225" s="283"/>
      <c r="C225" s="283"/>
      <c r="E225" s="283"/>
      <c r="G225" s="283"/>
      <c r="I225" s="283"/>
      <c r="K225" s="283"/>
      <c r="M225" s="283"/>
    </row>
    <row r="226" ht="15.75" customHeight="1">
      <c r="A226" s="283"/>
      <c r="B226" s="283"/>
      <c r="C226" s="283"/>
      <c r="E226" s="283"/>
      <c r="G226" s="283"/>
      <c r="I226" s="283"/>
      <c r="K226" s="283"/>
      <c r="M226" s="283"/>
    </row>
    <row r="227" ht="15.75" customHeight="1">
      <c r="A227" s="283"/>
      <c r="B227" s="283"/>
      <c r="C227" s="283"/>
      <c r="E227" s="283"/>
      <c r="G227" s="283"/>
      <c r="I227" s="283"/>
      <c r="K227" s="283"/>
      <c r="M227" s="283"/>
    </row>
    <row r="228" ht="15.75" customHeight="1">
      <c r="A228" s="283"/>
      <c r="B228" s="283"/>
      <c r="C228" s="283"/>
      <c r="E228" s="283"/>
      <c r="G228" s="283"/>
      <c r="I228" s="283"/>
      <c r="K228" s="283"/>
      <c r="M228" s="283"/>
    </row>
    <row r="229" ht="15.75" customHeight="1">
      <c r="A229" s="283"/>
      <c r="B229" s="283"/>
      <c r="C229" s="283"/>
      <c r="E229" s="283"/>
      <c r="G229" s="283"/>
      <c r="I229" s="283"/>
      <c r="K229" s="283"/>
      <c r="M229" s="283"/>
    </row>
    <row r="230" ht="15.75" customHeight="1">
      <c r="A230" s="283"/>
      <c r="B230" s="283"/>
      <c r="C230" s="283"/>
      <c r="E230" s="283"/>
      <c r="G230" s="283"/>
      <c r="I230" s="283"/>
      <c r="K230" s="283"/>
      <c r="M230" s="283"/>
    </row>
    <row r="231" ht="15.75" customHeight="1">
      <c r="A231" s="283"/>
      <c r="B231" s="283"/>
      <c r="C231" s="283"/>
      <c r="E231" s="283"/>
      <c r="G231" s="283"/>
      <c r="I231" s="283"/>
      <c r="K231" s="283"/>
      <c r="M231" s="283"/>
    </row>
    <row r="232" ht="15.75" customHeight="1">
      <c r="A232" s="283"/>
      <c r="B232" s="283"/>
      <c r="C232" s="283"/>
      <c r="E232" s="283"/>
      <c r="G232" s="283"/>
      <c r="I232" s="283"/>
      <c r="K232" s="283"/>
      <c r="M232" s="283"/>
    </row>
    <row r="233" ht="15.75" customHeight="1">
      <c r="A233" s="283"/>
      <c r="B233" s="283"/>
      <c r="C233" s="283"/>
      <c r="E233" s="283"/>
      <c r="G233" s="283"/>
      <c r="I233" s="283"/>
      <c r="K233" s="283"/>
      <c r="M233" s="283"/>
    </row>
    <row r="234" ht="15.75" customHeight="1">
      <c r="A234" s="283"/>
      <c r="B234" s="283"/>
      <c r="C234" s="283"/>
      <c r="E234" s="283"/>
      <c r="G234" s="283"/>
      <c r="I234" s="283"/>
      <c r="K234" s="283"/>
      <c r="M234" s="283"/>
    </row>
    <row r="235" ht="15.75" customHeight="1">
      <c r="A235" s="283"/>
      <c r="B235" s="283"/>
      <c r="C235" s="283"/>
      <c r="E235" s="283"/>
      <c r="G235" s="283"/>
      <c r="I235" s="283"/>
      <c r="K235" s="283"/>
      <c r="M235" s="283"/>
    </row>
    <row r="236" ht="15.75" customHeight="1">
      <c r="A236" s="283"/>
      <c r="B236" s="283"/>
      <c r="C236" s="283"/>
      <c r="E236" s="283"/>
      <c r="G236" s="283"/>
      <c r="I236" s="283"/>
      <c r="K236" s="283"/>
      <c r="M236" s="283"/>
    </row>
    <row r="237" ht="15.75" customHeight="1">
      <c r="A237" s="283"/>
      <c r="B237" s="283"/>
      <c r="C237" s="283"/>
      <c r="E237" s="283"/>
      <c r="G237" s="283"/>
      <c r="I237" s="283"/>
      <c r="K237" s="283"/>
      <c r="M237" s="283"/>
    </row>
    <row r="238" ht="15.75" customHeight="1">
      <c r="A238" s="283"/>
      <c r="B238" s="283"/>
      <c r="C238" s="283"/>
      <c r="E238" s="283"/>
      <c r="G238" s="283"/>
      <c r="I238" s="283"/>
      <c r="K238" s="283"/>
      <c r="M238" s="283"/>
    </row>
    <row r="239" ht="15.75" customHeight="1">
      <c r="A239" s="283"/>
      <c r="B239" s="283"/>
      <c r="C239" s="283"/>
      <c r="E239" s="283"/>
      <c r="G239" s="283"/>
      <c r="I239" s="283"/>
      <c r="K239" s="283"/>
      <c r="M239" s="283"/>
    </row>
    <row r="240" ht="15.75" customHeight="1">
      <c r="A240" s="283"/>
      <c r="B240" s="283"/>
      <c r="C240" s="283"/>
      <c r="E240" s="283"/>
      <c r="G240" s="283"/>
      <c r="I240" s="283"/>
      <c r="K240" s="283"/>
      <c r="M240" s="283"/>
    </row>
    <row r="241" ht="15.75" customHeight="1">
      <c r="A241" s="283"/>
      <c r="B241" s="283"/>
      <c r="C241" s="283"/>
      <c r="E241" s="283"/>
      <c r="G241" s="283"/>
      <c r="I241" s="283"/>
      <c r="K241" s="283"/>
      <c r="M241" s="283"/>
    </row>
    <row r="242" ht="15.75" customHeight="1">
      <c r="A242" s="283"/>
      <c r="B242" s="283"/>
      <c r="C242" s="283"/>
      <c r="E242" s="283"/>
      <c r="G242" s="283"/>
      <c r="I242" s="283"/>
      <c r="K242" s="283"/>
      <c r="M242" s="283"/>
    </row>
    <row r="243" ht="15.75" customHeight="1">
      <c r="A243" s="283"/>
      <c r="B243" s="283"/>
      <c r="C243" s="283"/>
      <c r="E243" s="283"/>
      <c r="G243" s="283"/>
      <c r="I243" s="283"/>
      <c r="K243" s="283"/>
      <c r="M243" s="283"/>
    </row>
    <row r="244" ht="15.75" customHeight="1">
      <c r="A244" s="283"/>
      <c r="B244" s="283"/>
      <c r="C244" s="283"/>
      <c r="E244" s="283"/>
      <c r="G244" s="283"/>
      <c r="I244" s="283"/>
      <c r="K244" s="283"/>
      <c r="M244" s="283"/>
    </row>
    <row r="245" ht="15.75" customHeight="1">
      <c r="A245" s="283"/>
      <c r="B245" s="283"/>
      <c r="C245" s="283"/>
      <c r="E245" s="283"/>
      <c r="G245" s="283"/>
      <c r="I245" s="283"/>
      <c r="K245" s="283"/>
      <c r="M245" s="283"/>
    </row>
    <row r="246" ht="15.75" customHeight="1">
      <c r="A246" s="283"/>
      <c r="B246" s="283"/>
      <c r="C246" s="283"/>
      <c r="E246" s="283"/>
      <c r="G246" s="283"/>
      <c r="I246" s="283"/>
      <c r="K246" s="283"/>
      <c r="M246" s="283"/>
    </row>
    <row r="247" ht="15.75" customHeight="1">
      <c r="A247" s="283"/>
      <c r="B247" s="283"/>
      <c r="C247" s="283"/>
      <c r="E247" s="283"/>
      <c r="G247" s="283"/>
      <c r="I247" s="283"/>
      <c r="K247" s="283"/>
      <c r="M247" s="283"/>
    </row>
    <row r="248" ht="15.75" customHeight="1">
      <c r="A248" s="283"/>
      <c r="B248" s="283"/>
      <c r="C248" s="283"/>
      <c r="E248" s="283"/>
      <c r="G248" s="283"/>
      <c r="I248" s="283"/>
      <c r="K248" s="283"/>
      <c r="M248" s="283"/>
    </row>
    <row r="249" ht="15.75" customHeight="1">
      <c r="A249" s="283"/>
      <c r="B249" s="283"/>
      <c r="C249" s="283"/>
      <c r="E249" s="283"/>
      <c r="G249" s="283"/>
      <c r="I249" s="283"/>
      <c r="K249" s="283"/>
      <c r="M249" s="283"/>
    </row>
    <row r="250" ht="15.75" customHeight="1">
      <c r="A250" s="283"/>
      <c r="B250" s="283"/>
      <c r="C250" s="283"/>
      <c r="E250" s="283"/>
      <c r="G250" s="283"/>
      <c r="I250" s="283"/>
      <c r="K250" s="283"/>
      <c r="M250" s="283"/>
    </row>
    <row r="251" ht="15.75" customHeight="1">
      <c r="A251" s="283"/>
      <c r="B251" s="283"/>
      <c r="C251" s="283"/>
      <c r="E251" s="283"/>
      <c r="G251" s="283"/>
      <c r="I251" s="283"/>
      <c r="K251" s="283"/>
      <c r="M251" s="283"/>
    </row>
    <row r="252" ht="15.75" customHeight="1">
      <c r="A252" s="283"/>
      <c r="B252" s="283"/>
      <c r="C252" s="283"/>
      <c r="E252" s="283"/>
      <c r="G252" s="283"/>
      <c r="I252" s="283"/>
      <c r="K252" s="283"/>
      <c r="M252" s="283"/>
    </row>
    <row r="253" ht="15.75" customHeight="1">
      <c r="A253" s="283"/>
      <c r="B253" s="283"/>
      <c r="C253" s="283"/>
      <c r="E253" s="283"/>
      <c r="G253" s="283"/>
      <c r="I253" s="283"/>
      <c r="K253" s="283"/>
      <c r="M253" s="283"/>
    </row>
    <row r="254" ht="15.75" customHeight="1">
      <c r="A254" s="283"/>
      <c r="B254" s="283"/>
      <c r="C254" s="283"/>
      <c r="E254" s="283"/>
      <c r="G254" s="283"/>
      <c r="I254" s="283"/>
      <c r="K254" s="283"/>
      <c r="M254" s="283"/>
    </row>
    <row r="255" ht="15.75" customHeight="1">
      <c r="A255" s="283"/>
      <c r="B255" s="283"/>
      <c r="C255" s="283"/>
      <c r="E255" s="283"/>
      <c r="G255" s="283"/>
      <c r="I255" s="283"/>
      <c r="K255" s="283"/>
      <c r="M255" s="283"/>
    </row>
    <row r="256" ht="15.75" customHeight="1">
      <c r="A256" s="283"/>
      <c r="B256" s="283"/>
      <c r="C256" s="283"/>
      <c r="E256" s="283"/>
      <c r="G256" s="283"/>
      <c r="I256" s="283"/>
      <c r="K256" s="283"/>
      <c r="M256" s="283"/>
    </row>
    <row r="257" ht="15.75" customHeight="1">
      <c r="A257" s="283"/>
      <c r="B257" s="283"/>
      <c r="C257" s="283"/>
      <c r="E257" s="283"/>
      <c r="G257" s="283"/>
      <c r="I257" s="283"/>
      <c r="K257" s="283"/>
      <c r="M257" s="283"/>
    </row>
    <row r="258" ht="15.75" customHeight="1">
      <c r="A258" s="283"/>
      <c r="B258" s="283"/>
      <c r="C258" s="283"/>
      <c r="E258" s="283"/>
      <c r="G258" s="283"/>
      <c r="I258" s="283"/>
      <c r="K258" s="283"/>
      <c r="M258" s="283"/>
    </row>
    <row r="259" ht="15.75" customHeight="1">
      <c r="A259" s="283"/>
      <c r="B259" s="283"/>
      <c r="C259" s="283"/>
      <c r="E259" s="283"/>
      <c r="G259" s="283"/>
      <c r="I259" s="283"/>
      <c r="K259" s="283"/>
      <c r="M259" s="283"/>
    </row>
    <row r="260" ht="15.75" customHeight="1">
      <c r="A260" s="283"/>
      <c r="B260" s="283"/>
      <c r="C260" s="283"/>
      <c r="E260" s="283"/>
      <c r="G260" s="283"/>
      <c r="I260" s="283"/>
      <c r="K260" s="283"/>
      <c r="M260" s="283"/>
    </row>
    <row r="261" ht="15.75" customHeight="1">
      <c r="A261" s="283"/>
      <c r="B261" s="283"/>
      <c r="C261" s="283"/>
      <c r="E261" s="283"/>
      <c r="G261" s="283"/>
      <c r="I261" s="283"/>
      <c r="K261" s="283"/>
      <c r="M261" s="283"/>
    </row>
    <row r="262" ht="15.75" customHeight="1">
      <c r="A262" s="283"/>
      <c r="B262" s="283"/>
      <c r="C262" s="283"/>
      <c r="E262" s="283"/>
      <c r="G262" s="283"/>
      <c r="I262" s="283"/>
      <c r="K262" s="283"/>
      <c r="M262" s="283"/>
    </row>
    <row r="263" ht="15.75" customHeight="1">
      <c r="A263" s="283"/>
      <c r="B263" s="283"/>
      <c r="C263" s="283"/>
      <c r="E263" s="283"/>
      <c r="G263" s="283"/>
      <c r="I263" s="283"/>
      <c r="K263" s="283"/>
      <c r="M263" s="283"/>
    </row>
    <row r="264" ht="15.75" customHeight="1">
      <c r="A264" s="283"/>
      <c r="B264" s="283"/>
      <c r="C264" s="283"/>
      <c r="E264" s="283"/>
      <c r="G264" s="283"/>
      <c r="I264" s="283"/>
      <c r="K264" s="283"/>
      <c r="M264" s="283"/>
    </row>
    <row r="265" ht="15.75" customHeight="1">
      <c r="A265" s="283"/>
      <c r="B265" s="283"/>
      <c r="C265" s="283"/>
      <c r="E265" s="283"/>
      <c r="G265" s="283"/>
      <c r="I265" s="283"/>
      <c r="K265" s="283"/>
      <c r="M265" s="283"/>
    </row>
    <row r="266" ht="15.75" customHeight="1">
      <c r="A266" s="283"/>
      <c r="B266" s="283"/>
      <c r="C266" s="283"/>
      <c r="E266" s="283"/>
      <c r="G266" s="283"/>
      <c r="I266" s="283"/>
      <c r="K266" s="283"/>
      <c r="M266" s="283"/>
    </row>
    <row r="267" ht="15.75" customHeight="1">
      <c r="A267" s="283"/>
      <c r="B267" s="283"/>
      <c r="C267" s="283"/>
      <c r="E267" s="283"/>
      <c r="G267" s="283"/>
      <c r="I267" s="283"/>
      <c r="K267" s="283"/>
      <c r="M267" s="283"/>
    </row>
    <row r="268" ht="15.75" customHeight="1">
      <c r="A268" s="283"/>
      <c r="B268" s="283"/>
      <c r="C268" s="283"/>
      <c r="E268" s="283"/>
      <c r="G268" s="283"/>
      <c r="I268" s="283"/>
      <c r="K268" s="283"/>
      <c r="M268" s="283"/>
    </row>
    <row r="269" ht="15.75" customHeight="1">
      <c r="A269" s="283"/>
      <c r="B269" s="283"/>
      <c r="C269" s="283"/>
      <c r="E269" s="283"/>
      <c r="G269" s="283"/>
      <c r="I269" s="283"/>
      <c r="K269" s="283"/>
      <c r="M269" s="283"/>
    </row>
    <row r="270" ht="15.75" customHeight="1">
      <c r="A270" s="283"/>
      <c r="B270" s="283"/>
      <c r="C270" s="283"/>
      <c r="E270" s="283"/>
      <c r="G270" s="283"/>
      <c r="I270" s="283"/>
      <c r="K270" s="283"/>
      <c r="M270" s="283"/>
    </row>
    <row r="271" ht="15.75" customHeight="1">
      <c r="A271" s="283"/>
      <c r="B271" s="283"/>
      <c r="C271" s="283"/>
      <c r="E271" s="283"/>
      <c r="G271" s="283"/>
      <c r="I271" s="283"/>
      <c r="K271" s="283"/>
      <c r="M271" s="283"/>
    </row>
    <row r="272" ht="15.75" customHeight="1">
      <c r="A272" s="283"/>
      <c r="B272" s="283"/>
      <c r="C272" s="283"/>
      <c r="E272" s="283"/>
      <c r="G272" s="283"/>
      <c r="I272" s="283"/>
      <c r="K272" s="283"/>
      <c r="M272" s="283"/>
    </row>
    <row r="273" ht="15.75" customHeight="1">
      <c r="A273" s="283"/>
      <c r="B273" s="283"/>
      <c r="C273" s="283"/>
      <c r="E273" s="283"/>
      <c r="G273" s="283"/>
      <c r="I273" s="283"/>
      <c r="K273" s="283"/>
      <c r="M273" s="283"/>
    </row>
    <row r="274" ht="15.75" customHeight="1">
      <c r="A274" s="283"/>
      <c r="B274" s="283"/>
      <c r="C274" s="283"/>
      <c r="E274" s="283"/>
      <c r="G274" s="283"/>
      <c r="I274" s="283"/>
      <c r="K274" s="283"/>
      <c r="M274" s="283"/>
    </row>
    <row r="275" ht="15.75" customHeight="1">
      <c r="A275" s="283"/>
      <c r="B275" s="283"/>
      <c r="C275" s="283"/>
      <c r="E275" s="283"/>
      <c r="G275" s="283"/>
      <c r="I275" s="283"/>
      <c r="K275" s="283"/>
      <c r="M275" s="283"/>
    </row>
    <row r="276" ht="15.75" customHeight="1">
      <c r="A276" s="283"/>
      <c r="B276" s="283"/>
      <c r="C276" s="283"/>
      <c r="E276" s="283"/>
      <c r="G276" s="283"/>
      <c r="I276" s="283"/>
      <c r="K276" s="283"/>
      <c r="M276" s="283"/>
    </row>
    <row r="277" ht="15.75" customHeight="1">
      <c r="A277" s="283"/>
      <c r="B277" s="283"/>
      <c r="C277" s="283"/>
      <c r="E277" s="283"/>
      <c r="G277" s="283"/>
      <c r="I277" s="283"/>
      <c r="K277" s="283"/>
      <c r="M277" s="283"/>
    </row>
    <row r="278" ht="15.75" customHeight="1">
      <c r="A278" s="283"/>
      <c r="B278" s="283"/>
      <c r="C278" s="283"/>
      <c r="E278" s="283"/>
      <c r="G278" s="283"/>
      <c r="I278" s="283"/>
      <c r="K278" s="283"/>
      <c r="M278" s="283"/>
    </row>
    <row r="279" ht="15.75" customHeight="1">
      <c r="A279" s="283"/>
      <c r="B279" s="283"/>
      <c r="C279" s="283"/>
      <c r="E279" s="283"/>
      <c r="G279" s="283"/>
      <c r="I279" s="283"/>
      <c r="K279" s="283"/>
      <c r="M279" s="283"/>
    </row>
    <row r="280" ht="15.75" customHeight="1">
      <c r="A280" s="283"/>
      <c r="B280" s="283"/>
      <c r="C280" s="283"/>
      <c r="E280" s="283"/>
      <c r="G280" s="283"/>
      <c r="I280" s="283"/>
      <c r="K280" s="283"/>
      <c r="M280" s="283"/>
    </row>
    <row r="281" ht="15.75" customHeight="1">
      <c r="A281" s="283"/>
      <c r="B281" s="283"/>
      <c r="C281" s="283"/>
      <c r="E281" s="283"/>
      <c r="G281" s="283"/>
      <c r="I281" s="283"/>
      <c r="K281" s="283"/>
      <c r="M281" s="283"/>
    </row>
    <row r="282" ht="15.75" customHeight="1">
      <c r="A282" s="283"/>
      <c r="B282" s="283"/>
      <c r="C282" s="283"/>
      <c r="E282" s="283"/>
      <c r="G282" s="283"/>
      <c r="I282" s="283"/>
      <c r="K282" s="283"/>
      <c r="M282" s="283"/>
    </row>
    <row r="283" ht="15.75" customHeight="1">
      <c r="A283" s="283"/>
      <c r="B283" s="283"/>
      <c r="C283" s="283"/>
      <c r="E283" s="283"/>
      <c r="G283" s="283"/>
      <c r="I283" s="283"/>
      <c r="K283" s="283"/>
      <c r="M283" s="283"/>
    </row>
    <row r="284" ht="15.75" customHeight="1">
      <c r="A284" s="283"/>
      <c r="B284" s="283"/>
      <c r="C284" s="283"/>
      <c r="E284" s="283"/>
      <c r="G284" s="283"/>
      <c r="I284" s="283"/>
      <c r="K284" s="283"/>
      <c r="M284" s="283"/>
    </row>
    <row r="285" ht="15.75" customHeight="1">
      <c r="A285" s="283"/>
      <c r="B285" s="283"/>
      <c r="C285" s="283"/>
      <c r="E285" s="283"/>
      <c r="G285" s="283"/>
      <c r="I285" s="283"/>
      <c r="K285" s="283"/>
      <c r="M285" s="283"/>
    </row>
    <row r="286" ht="15.75" customHeight="1">
      <c r="A286" s="283"/>
      <c r="B286" s="283"/>
      <c r="C286" s="283"/>
      <c r="E286" s="283"/>
      <c r="G286" s="283"/>
      <c r="I286" s="283"/>
      <c r="K286" s="283"/>
      <c r="M286" s="283"/>
    </row>
    <row r="287" ht="15.75" customHeight="1">
      <c r="A287" s="283"/>
      <c r="B287" s="283"/>
      <c r="C287" s="283"/>
      <c r="E287" s="283"/>
      <c r="G287" s="283"/>
      <c r="I287" s="283"/>
      <c r="K287" s="283"/>
      <c r="M287" s="283"/>
    </row>
    <row r="288" ht="15.75" customHeight="1">
      <c r="A288" s="283"/>
      <c r="B288" s="283"/>
      <c r="C288" s="283"/>
      <c r="E288" s="283"/>
      <c r="G288" s="283"/>
      <c r="I288" s="283"/>
      <c r="K288" s="283"/>
      <c r="M288" s="283"/>
    </row>
    <row r="289" ht="15.75" customHeight="1">
      <c r="A289" s="283"/>
      <c r="B289" s="283"/>
      <c r="C289" s="283"/>
      <c r="E289" s="283"/>
      <c r="G289" s="283"/>
      <c r="I289" s="283"/>
      <c r="K289" s="283"/>
      <c r="M289" s="283"/>
    </row>
    <row r="290" ht="15.75" customHeight="1">
      <c r="A290" s="283"/>
      <c r="B290" s="283"/>
      <c r="C290" s="283"/>
      <c r="E290" s="283"/>
      <c r="G290" s="283"/>
      <c r="I290" s="283"/>
      <c r="K290" s="283"/>
      <c r="M290" s="283"/>
    </row>
    <row r="291" ht="15.75" customHeight="1">
      <c r="A291" s="283"/>
      <c r="B291" s="283"/>
      <c r="C291" s="283"/>
      <c r="E291" s="283"/>
      <c r="G291" s="283"/>
      <c r="I291" s="283"/>
      <c r="K291" s="283"/>
      <c r="M291" s="283"/>
    </row>
    <row r="292" ht="15.75" customHeight="1">
      <c r="A292" s="283"/>
      <c r="B292" s="283"/>
      <c r="C292" s="283"/>
      <c r="E292" s="283"/>
      <c r="G292" s="283"/>
      <c r="I292" s="283"/>
      <c r="K292" s="283"/>
      <c r="M292" s="283"/>
    </row>
    <row r="293" ht="15.75" customHeight="1">
      <c r="A293" s="283"/>
      <c r="B293" s="283"/>
      <c r="C293" s="283"/>
      <c r="E293" s="283"/>
      <c r="G293" s="283"/>
      <c r="I293" s="283"/>
      <c r="K293" s="283"/>
      <c r="M293" s="283"/>
    </row>
    <row r="294" ht="15.75" customHeight="1">
      <c r="A294" s="283"/>
      <c r="B294" s="283"/>
      <c r="C294" s="283"/>
      <c r="E294" s="283"/>
      <c r="G294" s="283"/>
      <c r="I294" s="283"/>
      <c r="K294" s="283"/>
      <c r="M294" s="283"/>
    </row>
    <row r="295" ht="15.75" customHeight="1">
      <c r="A295" s="283"/>
      <c r="B295" s="283"/>
      <c r="C295" s="283"/>
      <c r="E295" s="283"/>
      <c r="G295" s="283"/>
      <c r="I295" s="283"/>
      <c r="K295" s="283"/>
      <c r="M295" s="283"/>
    </row>
    <row r="296" ht="15.75" customHeight="1">
      <c r="A296" s="283"/>
      <c r="B296" s="283"/>
      <c r="C296" s="283"/>
      <c r="E296" s="283"/>
      <c r="G296" s="283"/>
      <c r="I296" s="283"/>
      <c r="K296" s="283"/>
      <c r="M296" s="283"/>
    </row>
    <row r="297" ht="15.75" customHeight="1">
      <c r="A297" s="283"/>
      <c r="B297" s="283"/>
      <c r="C297" s="283"/>
      <c r="E297" s="283"/>
      <c r="G297" s="283"/>
      <c r="I297" s="283"/>
      <c r="K297" s="283"/>
      <c r="M297" s="283"/>
    </row>
    <row r="298" ht="15.75" customHeight="1">
      <c r="A298" s="283"/>
      <c r="B298" s="283"/>
      <c r="C298" s="283"/>
      <c r="E298" s="283"/>
      <c r="G298" s="283"/>
      <c r="I298" s="283"/>
      <c r="K298" s="283"/>
      <c r="M298" s="283"/>
    </row>
    <row r="299" ht="15.75" customHeight="1">
      <c r="A299" s="283"/>
      <c r="B299" s="283"/>
      <c r="C299" s="283"/>
      <c r="E299" s="283"/>
      <c r="G299" s="283"/>
      <c r="I299" s="283"/>
      <c r="K299" s="283"/>
      <c r="M299" s="283"/>
    </row>
    <row r="300" ht="15.75" customHeight="1">
      <c r="A300" s="283"/>
      <c r="B300" s="283"/>
      <c r="C300" s="283"/>
      <c r="E300" s="283"/>
      <c r="G300" s="283"/>
      <c r="I300" s="283"/>
      <c r="K300" s="283"/>
      <c r="M300" s="283"/>
    </row>
    <row r="301" ht="15.75" customHeight="1">
      <c r="A301" s="283"/>
      <c r="B301" s="283"/>
      <c r="C301" s="283"/>
      <c r="E301" s="283"/>
      <c r="G301" s="283"/>
      <c r="I301" s="283"/>
      <c r="K301" s="283"/>
      <c r="M301" s="283"/>
    </row>
    <row r="302" ht="15.75" customHeight="1">
      <c r="A302" s="283"/>
      <c r="B302" s="283"/>
      <c r="C302" s="283"/>
      <c r="E302" s="283"/>
      <c r="G302" s="283"/>
      <c r="I302" s="283"/>
      <c r="K302" s="283"/>
      <c r="M302" s="283"/>
    </row>
    <row r="303" ht="15.75" customHeight="1">
      <c r="A303" s="283"/>
      <c r="B303" s="283"/>
      <c r="C303" s="283"/>
      <c r="E303" s="283"/>
      <c r="G303" s="283"/>
      <c r="I303" s="283"/>
      <c r="K303" s="283"/>
      <c r="M303" s="283"/>
    </row>
    <row r="304" ht="15.75" customHeight="1">
      <c r="A304" s="283"/>
      <c r="B304" s="283"/>
      <c r="C304" s="283"/>
      <c r="E304" s="283"/>
      <c r="G304" s="283"/>
      <c r="I304" s="283"/>
      <c r="K304" s="283"/>
      <c r="M304" s="283"/>
    </row>
    <row r="305" ht="15.75" customHeight="1">
      <c r="A305" s="283"/>
      <c r="B305" s="283"/>
      <c r="C305" s="283"/>
      <c r="E305" s="283"/>
      <c r="G305" s="283"/>
      <c r="I305" s="283"/>
      <c r="K305" s="283"/>
      <c r="M305" s="283"/>
    </row>
    <row r="306" ht="15.75" customHeight="1">
      <c r="A306" s="283"/>
      <c r="B306" s="283"/>
      <c r="C306" s="283"/>
      <c r="E306" s="283"/>
      <c r="G306" s="283"/>
      <c r="I306" s="283"/>
      <c r="K306" s="283"/>
      <c r="M306" s="283"/>
    </row>
    <row r="307" ht="15.75" customHeight="1">
      <c r="A307" s="283"/>
      <c r="B307" s="283"/>
      <c r="C307" s="283"/>
      <c r="E307" s="283"/>
      <c r="G307" s="283"/>
      <c r="I307" s="283"/>
      <c r="K307" s="283"/>
      <c r="M307" s="283"/>
    </row>
    <row r="308" ht="15.75" customHeight="1">
      <c r="A308" s="283"/>
      <c r="B308" s="283"/>
      <c r="C308" s="283"/>
      <c r="E308" s="283"/>
      <c r="G308" s="283"/>
      <c r="I308" s="283"/>
      <c r="K308" s="283"/>
      <c r="M308" s="283"/>
    </row>
    <row r="309" ht="15.75" customHeight="1">
      <c r="A309" s="283"/>
      <c r="B309" s="283"/>
      <c r="C309" s="283"/>
      <c r="E309" s="283"/>
      <c r="G309" s="283"/>
      <c r="I309" s="283"/>
      <c r="K309" s="283"/>
      <c r="M309" s="283"/>
    </row>
    <row r="310" ht="15.75" customHeight="1">
      <c r="A310" s="283"/>
      <c r="B310" s="283"/>
      <c r="C310" s="283"/>
      <c r="E310" s="283"/>
      <c r="G310" s="283"/>
      <c r="I310" s="283"/>
      <c r="K310" s="283"/>
      <c r="M310" s="283"/>
    </row>
    <row r="311" ht="15.75" customHeight="1">
      <c r="A311" s="283"/>
      <c r="B311" s="283"/>
      <c r="C311" s="283"/>
      <c r="E311" s="283"/>
      <c r="G311" s="283"/>
      <c r="I311" s="283"/>
      <c r="K311" s="283"/>
      <c r="M311" s="283"/>
    </row>
    <row r="312" ht="15.75" customHeight="1">
      <c r="A312" s="283"/>
      <c r="B312" s="283"/>
      <c r="C312" s="283"/>
      <c r="E312" s="283"/>
      <c r="G312" s="283"/>
      <c r="I312" s="283"/>
      <c r="K312" s="283"/>
      <c r="M312" s="283"/>
    </row>
    <row r="313" ht="15.75" customHeight="1">
      <c r="A313" s="283"/>
      <c r="B313" s="283"/>
      <c r="C313" s="283"/>
      <c r="E313" s="283"/>
      <c r="G313" s="283"/>
      <c r="I313" s="283"/>
      <c r="K313" s="283"/>
      <c r="M313" s="283"/>
    </row>
    <row r="314" ht="15.75" customHeight="1">
      <c r="A314" s="283"/>
      <c r="B314" s="283"/>
      <c r="C314" s="283"/>
      <c r="E314" s="283"/>
      <c r="G314" s="283"/>
      <c r="I314" s="283"/>
      <c r="K314" s="283"/>
      <c r="M314" s="283"/>
    </row>
    <row r="315" ht="15.75" customHeight="1">
      <c r="A315" s="283"/>
      <c r="B315" s="283"/>
      <c r="C315" s="283"/>
      <c r="E315" s="283"/>
      <c r="G315" s="283"/>
      <c r="I315" s="283"/>
      <c r="K315" s="283"/>
      <c r="M315" s="283"/>
    </row>
    <row r="316" ht="15.75" customHeight="1">
      <c r="A316" s="283"/>
      <c r="B316" s="283"/>
      <c r="C316" s="283"/>
      <c r="E316" s="283"/>
      <c r="G316" s="283"/>
      <c r="I316" s="283"/>
      <c r="K316" s="283"/>
      <c r="M316" s="283"/>
    </row>
    <row r="317" ht="15.75" customHeight="1">
      <c r="A317" s="283"/>
      <c r="B317" s="283"/>
      <c r="C317" s="283"/>
      <c r="E317" s="283"/>
      <c r="G317" s="283"/>
      <c r="I317" s="283"/>
      <c r="K317" s="283"/>
      <c r="M317" s="283"/>
    </row>
    <row r="318" ht="15.75" customHeight="1">
      <c r="A318" s="283"/>
      <c r="B318" s="283"/>
      <c r="C318" s="283"/>
      <c r="E318" s="283"/>
      <c r="G318" s="283"/>
      <c r="I318" s="283"/>
      <c r="K318" s="283"/>
      <c r="M318" s="283"/>
    </row>
    <row r="319" ht="15.75" customHeight="1">
      <c r="A319" s="283"/>
      <c r="B319" s="283"/>
      <c r="C319" s="283"/>
      <c r="E319" s="283"/>
      <c r="G319" s="283"/>
      <c r="I319" s="283"/>
      <c r="K319" s="283"/>
      <c r="M319" s="283"/>
    </row>
    <row r="320" ht="15.75" customHeight="1">
      <c r="A320" s="283"/>
      <c r="B320" s="283"/>
      <c r="C320" s="283"/>
      <c r="E320" s="283"/>
      <c r="G320" s="283"/>
      <c r="I320" s="283"/>
      <c r="K320" s="283"/>
      <c r="M320" s="283"/>
    </row>
    <row r="321" ht="15.75" customHeight="1">
      <c r="A321" s="283"/>
      <c r="B321" s="283"/>
      <c r="C321" s="283"/>
      <c r="E321" s="283"/>
      <c r="G321" s="283"/>
      <c r="I321" s="283"/>
      <c r="K321" s="283"/>
      <c r="M321" s="283"/>
    </row>
    <row r="322" ht="15.75" customHeight="1">
      <c r="A322" s="283"/>
      <c r="B322" s="283"/>
      <c r="C322" s="283"/>
      <c r="E322" s="283"/>
      <c r="G322" s="283"/>
      <c r="I322" s="283"/>
      <c r="K322" s="283"/>
      <c r="M322" s="283"/>
    </row>
    <row r="323" ht="15.75" customHeight="1">
      <c r="A323" s="283"/>
      <c r="B323" s="283"/>
      <c r="C323" s="283"/>
      <c r="E323" s="283"/>
      <c r="G323" s="283"/>
      <c r="I323" s="283"/>
      <c r="K323" s="283"/>
      <c r="M323" s="283"/>
    </row>
    <row r="324" ht="15.75" customHeight="1">
      <c r="A324" s="283"/>
      <c r="B324" s="283"/>
      <c r="C324" s="283"/>
      <c r="E324" s="283"/>
      <c r="G324" s="283"/>
      <c r="I324" s="283"/>
      <c r="K324" s="283"/>
      <c r="M324" s="283"/>
    </row>
    <row r="325" ht="15.75" customHeight="1">
      <c r="A325" s="283"/>
      <c r="B325" s="283"/>
      <c r="C325" s="283"/>
      <c r="E325" s="283"/>
      <c r="G325" s="283"/>
      <c r="I325" s="283"/>
      <c r="K325" s="283"/>
      <c r="M325" s="283"/>
    </row>
    <row r="326" ht="15.75" customHeight="1">
      <c r="A326" s="283"/>
      <c r="B326" s="283"/>
      <c r="C326" s="283"/>
      <c r="E326" s="283"/>
      <c r="G326" s="283"/>
      <c r="I326" s="283"/>
      <c r="K326" s="283"/>
      <c r="M326" s="283"/>
    </row>
    <row r="327" ht="15.75" customHeight="1">
      <c r="A327" s="283"/>
      <c r="B327" s="283"/>
      <c r="C327" s="283"/>
      <c r="E327" s="283"/>
      <c r="G327" s="283"/>
      <c r="I327" s="283"/>
      <c r="K327" s="283"/>
      <c r="M327" s="283"/>
    </row>
    <row r="328" ht="15.75" customHeight="1">
      <c r="A328" s="283"/>
      <c r="B328" s="283"/>
      <c r="C328" s="283"/>
      <c r="E328" s="283"/>
      <c r="G328" s="283"/>
      <c r="I328" s="283"/>
      <c r="K328" s="283"/>
      <c r="M328" s="283"/>
    </row>
    <row r="329" ht="15.75" customHeight="1">
      <c r="A329" s="283"/>
      <c r="B329" s="283"/>
      <c r="C329" s="283"/>
      <c r="E329" s="283"/>
      <c r="G329" s="283"/>
      <c r="I329" s="283"/>
      <c r="K329" s="283"/>
      <c r="M329" s="283"/>
    </row>
    <row r="330" ht="15.75" customHeight="1">
      <c r="A330" s="283"/>
      <c r="B330" s="283"/>
      <c r="C330" s="283"/>
      <c r="E330" s="283"/>
      <c r="G330" s="283"/>
      <c r="I330" s="283"/>
      <c r="K330" s="283"/>
      <c r="M330" s="283"/>
    </row>
    <row r="331" ht="15.75" customHeight="1">
      <c r="A331" s="283"/>
      <c r="B331" s="283"/>
      <c r="C331" s="283"/>
      <c r="E331" s="283"/>
      <c r="G331" s="283"/>
      <c r="I331" s="283"/>
      <c r="K331" s="283"/>
      <c r="M331" s="283"/>
    </row>
    <row r="332" ht="15.75" customHeight="1">
      <c r="A332" s="283"/>
      <c r="B332" s="283"/>
      <c r="C332" s="283"/>
      <c r="E332" s="283"/>
      <c r="G332" s="283"/>
      <c r="I332" s="283"/>
      <c r="K332" s="283"/>
      <c r="M332" s="283"/>
    </row>
    <row r="333" ht="15.75" customHeight="1">
      <c r="A333" s="283"/>
      <c r="B333" s="283"/>
      <c r="C333" s="283"/>
      <c r="E333" s="283"/>
      <c r="G333" s="283"/>
      <c r="I333" s="283"/>
      <c r="K333" s="283"/>
      <c r="M333" s="283"/>
    </row>
    <row r="334" ht="15.75" customHeight="1">
      <c r="A334" s="283"/>
      <c r="B334" s="283"/>
      <c r="C334" s="283"/>
      <c r="E334" s="283"/>
      <c r="G334" s="283"/>
      <c r="I334" s="283"/>
      <c r="K334" s="283"/>
      <c r="M334" s="283"/>
    </row>
    <row r="335" ht="15.75" customHeight="1">
      <c r="A335" s="283"/>
      <c r="B335" s="283"/>
      <c r="C335" s="283"/>
      <c r="E335" s="283"/>
      <c r="G335" s="283"/>
      <c r="I335" s="283"/>
      <c r="K335" s="283"/>
      <c r="M335" s="283"/>
    </row>
    <row r="336" ht="15.75" customHeight="1">
      <c r="A336" s="283"/>
      <c r="B336" s="283"/>
      <c r="C336" s="283"/>
      <c r="E336" s="283"/>
      <c r="G336" s="283"/>
      <c r="I336" s="283"/>
      <c r="K336" s="283"/>
      <c r="M336" s="283"/>
    </row>
    <row r="337" ht="15.75" customHeight="1">
      <c r="A337" s="283"/>
      <c r="B337" s="283"/>
      <c r="C337" s="283"/>
      <c r="E337" s="283"/>
      <c r="G337" s="283"/>
      <c r="I337" s="283"/>
      <c r="K337" s="283"/>
      <c r="M337" s="283"/>
    </row>
    <row r="338" ht="15.75" customHeight="1">
      <c r="A338" s="283"/>
      <c r="B338" s="283"/>
      <c r="C338" s="283"/>
      <c r="E338" s="283"/>
      <c r="G338" s="283"/>
      <c r="I338" s="283"/>
      <c r="K338" s="283"/>
      <c r="M338" s="283"/>
    </row>
    <row r="339" ht="15.75" customHeight="1">
      <c r="A339" s="283"/>
      <c r="B339" s="283"/>
      <c r="C339" s="283"/>
      <c r="E339" s="283"/>
      <c r="G339" s="283"/>
      <c r="I339" s="283"/>
      <c r="K339" s="283"/>
      <c r="M339" s="283"/>
    </row>
    <row r="340" ht="15.75" customHeight="1">
      <c r="A340" s="283"/>
      <c r="B340" s="283"/>
      <c r="C340" s="283"/>
      <c r="E340" s="283"/>
      <c r="G340" s="283"/>
      <c r="I340" s="283"/>
      <c r="K340" s="283"/>
      <c r="M340" s="283"/>
    </row>
    <row r="341" ht="15.75" customHeight="1">
      <c r="A341" s="283"/>
      <c r="B341" s="283"/>
      <c r="C341" s="283"/>
      <c r="E341" s="283"/>
      <c r="G341" s="283"/>
      <c r="I341" s="283"/>
      <c r="K341" s="283"/>
      <c r="M341" s="283"/>
    </row>
    <row r="342" ht="15.75" customHeight="1">
      <c r="A342" s="283"/>
      <c r="B342" s="283"/>
      <c r="C342" s="283"/>
      <c r="E342" s="283"/>
      <c r="G342" s="283"/>
      <c r="I342" s="283"/>
      <c r="K342" s="283"/>
      <c r="M342" s="283"/>
    </row>
    <row r="343" ht="15.75" customHeight="1">
      <c r="A343" s="283"/>
      <c r="B343" s="283"/>
      <c r="C343" s="283"/>
      <c r="E343" s="283"/>
      <c r="G343" s="283"/>
      <c r="I343" s="283"/>
      <c r="K343" s="283"/>
      <c r="M343" s="283"/>
    </row>
    <row r="344" ht="15.75" customHeight="1">
      <c r="A344" s="283"/>
      <c r="B344" s="283"/>
      <c r="C344" s="283"/>
      <c r="E344" s="283"/>
      <c r="G344" s="283"/>
      <c r="I344" s="283"/>
      <c r="K344" s="283"/>
      <c r="M344" s="283"/>
    </row>
    <row r="345" ht="15.75" customHeight="1">
      <c r="A345" s="283"/>
      <c r="B345" s="283"/>
      <c r="C345" s="283"/>
      <c r="E345" s="283"/>
      <c r="G345" s="283"/>
      <c r="I345" s="283"/>
      <c r="K345" s="283"/>
      <c r="M345" s="283"/>
    </row>
    <row r="346" ht="15.75" customHeight="1">
      <c r="A346" s="283"/>
      <c r="B346" s="283"/>
      <c r="C346" s="283"/>
      <c r="E346" s="283"/>
      <c r="G346" s="283"/>
      <c r="I346" s="283"/>
      <c r="K346" s="283"/>
      <c r="M346" s="283"/>
    </row>
    <row r="347" ht="15.75" customHeight="1">
      <c r="A347" s="283"/>
      <c r="B347" s="283"/>
      <c r="C347" s="283"/>
      <c r="E347" s="283"/>
      <c r="G347" s="283"/>
      <c r="I347" s="283"/>
      <c r="K347" s="283"/>
      <c r="M347" s="283"/>
    </row>
    <row r="348" ht="15.75" customHeight="1">
      <c r="A348" s="283"/>
      <c r="B348" s="283"/>
      <c r="C348" s="283"/>
      <c r="E348" s="283"/>
      <c r="G348" s="283"/>
      <c r="I348" s="283"/>
      <c r="K348" s="283"/>
      <c r="M348" s="283"/>
    </row>
    <row r="349" ht="15.75" customHeight="1">
      <c r="A349" s="283"/>
      <c r="B349" s="283"/>
      <c r="C349" s="283"/>
      <c r="E349" s="283"/>
      <c r="G349" s="283"/>
      <c r="I349" s="283"/>
      <c r="K349" s="283"/>
      <c r="M349" s="283"/>
    </row>
    <row r="350" ht="15.75" customHeight="1">
      <c r="A350" s="283"/>
      <c r="B350" s="283"/>
      <c r="C350" s="283"/>
      <c r="E350" s="283"/>
      <c r="G350" s="283"/>
      <c r="I350" s="283"/>
      <c r="K350" s="283"/>
      <c r="M350" s="283"/>
    </row>
    <row r="351" ht="15.75" customHeight="1">
      <c r="A351" s="283"/>
      <c r="B351" s="283"/>
      <c r="C351" s="283"/>
      <c r="E351" s="283"/>
      <c r="G351" s="283"/>
      <c r="I351" s="283"/>
      <c r="K351" s="283"/>
      <c r="M351" s="283"/>
    </row>
    <row r="352" ht="15.75" customHeight="1">
      <c r="A352" s="283"/>
      <c r="B352" s="283"/>
      <c r="C352" s="283"/>
      <c r="E352" s="283"/>
      <c r="G352" s="283"/>
      <c r="I352" s="283"/>
      <c r="K352" s="283"/>
      <c r="M352" s="283"/>
    </row>
    <row r="353" ht="15.75" customHeight="1">
      <c r="A353" s="283"/>
      <c r="B353" s="283"/>
      <c r="C353" s="283"/>
      <c r="E353" s="283"/>
      <c r="G353" s="283"/>
      <c r="I353" s="283"/>
      <c r="K353" s="283"/>
      <c r="M353" s="283"/>
    </row>
    <row r="354" ht="15.75" customHeight="1">
      <c r="A354" s="283"/>
      <c r="B354" s="283"/>
      <c r="C354" s="283"/>
      <c r="E354" s="283"/>
      <c r="G354" s="283"/>
      <c r="I354" s="283"/>
      <c r="K354" s="283"/>
      <c r="M354" s="283"/>
    </row>
    <row r="355" ht="15.75" customHeight="1">
      <c r="A355" s="283"/>
      <c r="B355" s="283"/>
      <c r="C355" s="283"/>
      <c r="E355" s="283"/>
      <c r="G355" s="283"/>
      <c r="I355" s="283"/>
      <c r="K355" s="283"/>
      <c r="M355" s="283"/>
    </row>
    <row r="356" ht="15.75" customHeight="1">
      <c r="A356" s="283"/>
      <c r="B356" s="283"/>
      <c r="C356" s="283"/>
      <c r="E356" s="283"/>
      <c r="G356" s="283"/>
      <c r="I356" s="283"/>
      <c r="K356" s="283"/>
      <c r="M356" s="283"/>
    </row>
    <row r="357" ht="15.75" customHeight="1">
      <c r="A357" s="283"/>
      <c r="B357" s="283"/>
      <c r="C357" s="283"/>
      <c r="E357" s="283"/>
      <c r="G357" s="283"/>
      <c r="I357" s="283"/>
      <c r="K357" s="283"/>
      <c r="M357" s="283"/>
    </row>
    <row r="358" ht="15.75" customHeight="1">
      <c r="A358" s="283"/>
      <c r="B358" s="283"/>
      <c r="C358" s="283"/>
      <c r="E358" s="283"/>
      <c r="G358" s="283"/>
      <c r="I358" s="283"/>
      <c r="K358" s="283"/>
      <c r="M358" s="283"/>
    </row>
    <row r="359" ht="15.75" customHeight="1">
      <c r="A359" s="283"/>
      <c r="B359" s="283"/>
      <c r="C359" s="283"/>
      <c r="E359" s="283"/>
      <c r="G359" s="283"/>
      <c r="I359" s="283"/>
      <c r="K359" s="283"/>
      <c r="M359" s="283"/>
    </row>
    <row r="360" ht="15.75" customHeight="1">
      <c r="A360" s="283"/>
      <c r="B360" s="283"/>
      <c r="C360" s="283"/>
      <c r="E360" s="283"/>
      <c r="G360" s="283"/>
      <c r="I360" s="283"/>
      <c r="K360" s="283"/>
      <c r="M360" s="283"/>
    </row>
    <row r="361" ht="15.75" customHeight="1">
      <c r="A361" s="283"/>
      <c r="B361" s="283"/>
      <c r="C361" s="283"/>
      <c r="E361" s="283"/>
      <c r="G361" s="283"/>
      <c r="I361" s="283"/>
      <c r="K361" s="283"/>
      <c r="M361" s="283"/>
    </row>
    <row r="362" ht="15.75" customHeight="1">
      <c r="A362" s="283"/>
      <c r="B362" s="283"/>
      <c r="C362" s="283"/>
      <c r="E362" s="283"/>
      <c r="G362" s="283"/>
      <c r="I362" s="283"/>
      <c r="K362" s="283"/>
      <c r="M362" s="283"/>
    </row>
    <row r="363" ht="15.75" customHeight="1">
      <c r="A363" s="283"/>
      <c r="B363" s="283"/>
      <c r="C363" s="283"/>
      <c r="E363" s="283"/>
      <c r="G363" s="283"/>
      <c r="I363" s="283"/>
      <c r="K363" s="283"/>
      <c r="M363" s="283"/>
    </row>
    <row r="364" ht="15.75" customHeight="1">
      <c r="A364" s="283"/>
      <c r="B364" s="283"/>
      <c r="C364" s="283"/>
      <c r="E364" s="283"/>
      <c r="G364" s="283"/>
      <c r="I364" s="283"/>
      <c r="K364" s="283"/>
      <c r="M364" s="283"/>
    </row>
    <row r="365" ht="15.75" customHeight="1">
      <c r="A365" s="283"/>
      <c r="B365" s="283"/>
      <c r="C365" s="283"/>
      <c r="E365" s="283"/>
      <c r="G365" s="283"/>
      <c r="I365" s="283"/>
      <c r="K365" s="283"/>
      <c r="M365" s="283"/>
    </row>
    <row r="366" ht="15.75" customHeight="1">
      <c r="A366" s="283"/>
      <c r="B366" s="283"/>
      <c r="C366" s="283"/>
      <c r="E366" s="283"/>
      <c r="G366" s="283"/>
      <c r="I366" s="283"/>
      <c r="K366" s="283"/>
      <c r="M366" s="283"/>
    </row>
    <row r="367" ht="15.75" customHeight="1">
      <c r="A367" s="283"/>
      <c r="B367" s="283"/>
      <c r="C367" s="283"/>
      <c r="E367" s="283"/>
      <c r="G367" s="283"/>
      <c r="I367" s="283"/>
      <c r="K367" s="283"/>
      <c r="M367" s="283"/>
    </row>
    <row r="368" ht="15.75" customHeight="1">
      <c r="A368" s="283"/>
      <c r="B368" s="283"/>
      <c r="C368" s="283"/>
      <c r="E368" s="283"/>
      <c r="G368" s="283"/>
      <c r="I368" s="283"/>
      <c r="K368" s="283"/>
      <c r="M368" s="283"/>
    </row>
    <row r="369" ht="15.75" customHeight="1">
      <c r="A369" s="283"/>
      <c r="B369" s="283"/>
      <c r="C369" s="283"/>
      <c r="E369" s="283"/>
      <c r="G369" s="283"/>
      <c r="I369" s="283"/>
      <c r="K369" s="283"/>
      <c r="M369" s="283"/>
    </row>
    <row r="370" ht="15.75" customHeight="1">
      <c r="A370" s="283"/>
      <c r="B370" s="283"/>
      <c r="C370" s="283"/>
      <c r="E370" s="283"/>
      <c r="G370" s="283"/>
      <c r="I370" s="283"/>
      <c r="K370" s="283"/>
      <c r="M370" s="283"/>
    </row>
    <row r="371" ht="15.75" customHeight="1">
      <c r="A371" s="283"/>
      <c r="B371" s="283"/>
      <c r="C371" s="283"/>
      <c r="E371" s="283"/>
      <c r="G371" s="283"/>
      <c r="I371" s="283"/>
      <c r="K371" s="283"/>
      <c r="M371" s="283"/>
    </row>
    <row r="372" ht="15.75" customHeight="1">
      <c r="A372" s="283"/>
      <c r="B372" s="283"/>
      <c r="C372" s="283"/>
      <c r="E372" s="283"/>
      <c r="G372" s="283"/>
      <c r="I372" s="283"/>
      <c r="K372" s="283"/>
      <c r="M372" s="283"/>
    </row>
    <row r="373" ht="15.75" customHeight="1">
      <c r="A373" s="283"/>
      <c r="B373" s="283"/>
      <c r="C373" s="283"/>
      <c r="E373" s="283"/>
      <c r="G373" s="283"/>
      <c r="I373" s="283"/>
      <c r="K373" s="283"/>
      <c r="M373" s="283"/>
    </row>
    <row r="374" ht="15.75" customHeight="1">
      <c r="A374" s="283"/>
      <c r="B374" s="283"/>
      <c r="C374" s="283"/>
      <c r="E374" s="283"/>
      <c r="G374" s="283"/>
      <c r="I374" s="283"/>
      <c r="K374" s="283"/>
      <c r="M374" s="283"/>
    </row>
    <row r="375" ht="15.75" customHeight="1">
      <c r="A375" s="283"/>
      <c r="B375" s="283"/>
      <c r="C375" s="283"/>
      <c r="E375" s="283"/>
      <c r="G375" s="283"/>
      <c r="I375" s="283"/>
      <c r="K375" s="283"/>
      <c r="M375" s="283"/>
    </row>
    <row r="376" ht="15.75" customHeight="1">
      <c r="A376" s="283"/>
      <c r="B376" s="283"/>
      <c r="C376" s="283"/>
      <c r="E376" s="283"/>
      <c r="G376" s="283"/>
      <c r="I376" s="283"/>
      <c r="K376" s="283"/>
      <c r="M376" s="283"/>
    </row>
    <row r="377" ht="15.75" customHeight="1">
      <c r="A377" s="283"/>
      <c r="B377" s="283"/>
      <c r="C377" s="283"/>
      <c r="E377" s="283"/>
      <c r="G377" s="283"/>
      <c r="I377" s="283"/>
      <c r="K377" s="283"/>
      <c r="M377" s="283"/>
    </row>
    <row r="378" ht="15.75" customHeight="1">
      <c r="A378" s="283"/>
      <c r="B378" s="283"/>
      <c r="C378" s="283"/>
      <c r="E378" s="283"/>
      <c r="G378" s="283"/>
      <c r="I378" s="283"/>
      <c r="K378" s="283"/>
      <c r="M378" s="283"/>
    </row>
    <row r="379" ht="15.75" customHeight="1">
      <c r="A379" s="283"/>
      <c r="B379" s="283"/>
      <c r="C379" s="283"/>
      <c r="E379" s="283"/>
      <c r="G379" s="283"/>
      <c r="I379" s="283"/>
      <c r="K379" s="283"/>
      <c r="M379" s="283"/>
    </row>
    <row r="380" ht="15.75" customHeight="1">
      <c r="A380" s="283"/>
      <c r="B380" s="283"/>
      <c r="C380" s="283"/>
      <c r="E380" s="283"/>
      <c r="G380" s="283"/>
      <c r="I380" s="283"/>
      <c r="K380" s="283"/>
      <c r="M380" s="283"/>
    </row>
    <row r="381" ht="15.75" customHeight="1">
      <c r="A381" s="283"/>
      <c r="B381" s="283"/>
      <c r="C381" s="283"/>
      <c r="E381" s="283"/>
      <c r="G381" s="283"/>
      <c r="I381" s="283"/>
      <c r="K381" s="283"/>
      <c r="M381" s="283"/>
    </row>
    <row r="382" ht="15.75" customHeight="1">
      <c r="A382" s="283"/>
      <c r="B382" s="283"/>
      <c r="C382" s="283"/>
      <c r="E382" s="283"/>
      <c r="G382" s="283"/>
      <c r="I382" s="283"/>
      <c r="K382" s="283"/>
      <c r="M382" s="283"/>
    </row>
    <row r="383" ht="15.75" customHeight="1">
      <c r="A383" s="283"/>
      <c r="B383" s="283"/>
      <c r="C383" s="283"/>
      <c r="E383" s="283"/>
      <c r="G383" s="283"/>
      <c r="I383" s="283"/>
      <c r="K383" s="283"/>
      <c r="M383" s="283"/>
    </row>
    <row r="384" ht="15.75" customHeight="1">
      <c r="A384" s="283"/>
      <c r="B384" s="283"/>
      <c r="C384" s="283"/>
      <c r="E384" s="283"/>
      <c r="G384" s="283"/>
      <c r="I384" s="283"/>
      <c r="K384" s="283"/>
      <c r="M384" s="283"/>
    </row>
    <row r="385" ht="15.75" customHeight="1">
      <c r="A385" s="283"/>
      <c r="B385" s="283"/>
      <c r="C385" s="283"/>
      <c r="E385" s="283"/>
      <c r="G385" s="283"/>
      <c r="I385" s="283"/>
      <c r="K385" s="283"/>
      <c r="M385" s="283"/>
    </row>
    <row r="386" ht="15.75" customHeight="1">
      <c r="A386" s="283"/>
      <c r="B386" s="283"/>
      <c r="C386" s="283"/>
      <c r="E386" s="283"/>
      <c r="G386" s="283"/>
      <c r="I386" s="283"/>
      <c r="K386" s="283"/>
      <c r="M386" s="283"/>
    </row>
    <row r="387" ht="15.75" customHeight="1">
      <c r="A387" s="283"/>
      <c r="B387" s="283"/>
      <c r="C387" s="283"/>
      <c r="E387" s="283"/>
      <c r="G387" s="283"/>
      <c r="I387" s="283"/>
      <c r="K387" s="283"/>
      <c r="M387" s="283"/>
    </row>
    <row r="388" ht="15.75" customHeight="1">
      <c r="A388" s="283"/>
      <c r="B388" s="283"/>
      <c r="C388" s="283"/>
      <c r="E388" s="283"/>
      <c r="G388" s="283"/>
      <c r="I388" s="283"/>
      <c r="K388" s="283"/>
      <c r="M388" s="283"/>
    </row>
    <row r="389" ht="15.75" customHeight="1">
      <c r="A389" s="283"/>
      <c r="B389" s="283"/>
      <c r="C389" s="283"/>
      <c r="E389" s="283"/>
      <c r="G389" s="283"/>
      <c r="I389" s="283"/>
      <c r="K389" s="283"/>
      <c r="M389" s="283"/>
    </row>
    <row r="390" ht="15.75" customHeight="1">
      <c r="A390" s="283"/>
      <c r="B390" s="283"/>
      <c r="C390" s="283"/>
      <c r="E390" s="283"/>
      <c r="G390" s="283"/>
      <c r="I390" s="283"/>
      <c r="K390" s="283"/>
      <c r="M390" s="283"/>
    </row>
    <row r="391" ht="15.75" customHeight="1">
      <c r="A391" s="283"/>
      <c r="B391" s="283"/>
      <c r="C391" s="283"/>
      <c r="E391" s="283"/>
      <c r="G391" s="283"/>
      <c r="I391" s="283"/>
      <c r="K391" s="283"/>
      <c r="M391" s="283"/>
    </row>
    <row r="392" ht="15.75" customHeight="1">
      <c r="A392" s="283"/>
      <c r="B392" s="283"/>
      <c r="C392" s="283"/>
      <c r="E392" s="283"/>
      <c r="G392" s="283"/>
      <c r="I392" s="283"/>
      <c r="K392" s="283"/>
      <c r="M392" s="283"/>
    </row>
    <row r="393" ht="15.75" customHeight="1">
      <c r="A393" s="283"/>
      <c r="B393" s="283"/>
      <c r="C393" s="283"/>
      <c r="E393" s="283"/>
      <c r="G393" s="283"/>
      <c r="I393" s="283"/>
      <c r="K393" s="283"/>
      <c r="M393" s="283"/>
    </row>
    <row r="394" ht="15.75" customHeight="1">
      <c r="A394" s="283"/>
      <c r="B394" s="283"/>
      <c r="C394" s="283"/>
      <c r="E394" s="283"/>
      <c r="G394" s="283"/>
      <c r="I394" s="283"/>
      <c r="K394" s="283"/>
      <c r="M394" s="283"/>
    </row>
    <row r="395" ht="15.75" customHeight="1">
      <c r="A395" s="283"/>
      <c r="B395" s="283"/>
      <c r="C395" s="283"/>
      <c r="E395" s="283"/>
      <c r="G395" s="283"/>
      <c r="I395" s="283"/>
      <c r="K395" s="283"/>
      <c r="M395" s="283"/>
    </row>
    <row r="396" ht="15.75" customHeight="1">
      <c r="A396" s="283"/>
      <c r="B396" s="283"/>
      <c r="C396" s="283"/>
      <c r="E396" s="283"/>
      <c r="G396" s="283"/>
      <c r="I396" s="283"/>
      <c r="K396" s="283"/>
      <c r="M396" s="283"/>
    </row>
    <row r="397" ht="15.75" customHeight="1">
      <c r="A397" s="283"/>
      <c r="B397" s="283"/>
      <c r="C397" s="283"/>
      <c r="E397" s="283"/>
      <c r="G397" s="283"/>
      <c r="I397" s="283"/>
      <c r="K397" s="283"/>
      <c r="M397" s="283"/>
    </row>
    <row r="398" ht="15.75" customHeight="1">
      <c r="A398" s="283"/>
      <c r="B398" s="283"/>
      <c r="C398" s="283"/>
      <c r="E398" s="283"/>
      <c r="G398" s="283"/>
      <c r="I398" s="283"/>
      <c r="K398" s="283"/>
      <c r="M398" s="283"/>
    </row>
    <row r="399" ht="15.75" customHeight="1">
      <c r="A399" s="283"/>
      <c r="B399" s="283"/>
      <c r="C399" s="283"/>
      <c r="E399" s="283"/>
      <c r="G399" s="283"/>
      <c r="I399" s="283"/>
      <c r="K399" s="283"/>
      <c r="M399" s="283"/>
    </row>
    <row r="400" ht="15.75" customHeight="1">
      <c r="A400" s="283"/>
      <c r="B400" s="283"/>
      <c r="C400" s="283"/>
      <c r="E400" s="283"/>
      <c r="G400" s="283"/>
      <c r="I400" s="283"/>
      <c r="K400" s="283"/>
      <c r="M400" s="283"/>
    </row>
    <row r="401" ht="15.75" customHeight="1">
      <c r="A401" s="283"/>
      <c r="B401" s="283"/>
      <c r="C401" s="283"/>
      <c r="E401" s="283"/>
      <c r="G401" s="283"/>
      <c r="I401" s="283"/>
      <c r="K401" s="283"/>
      <c r="M401" s="283"/>
    </row>
    <row r="402" ht="15.75" customHeight="1">
      <c r="A402" s="283"/>
      <c r="B402" s="283"/>
      <c r="C402" s="283"/>
      <c r="E402" s="283"/>
      <c r="G402" s="283"/>
      <c r="I402" s="283"/>
      <c r="K402" s="283"/>
      <c r="M402" s="283"/>
    </row>
    <row r="403" ht="15.75" customHeight="1">
      <c r="A403" s="283"/>
      <c r="B403" s="283"/>
      <c r="C403" s="283"/>
      <c r="E403" s="283"/>
      <c r="G403" s="283"/>
      <c r="I403" s="283"/>
      <c r="K403" s="283"/>
      <c r="M403" s="283"/>
    </row>
    <row r="404" ht="15.75" customHeight="1">
      <c r="A404" s="283"/>
      <c r="B404" s="283"/>
      <c r="C404" s="283"/>
      <c r="E404" s="283"/>
      <c r="G404" s="283"/>
      <c r="I404" s="283"/>
      <c r="K404" s="283"/>
      <c r="M404" s="283"/>
    </row>
    <row r="405" ht="15.75" customHeight="1">
      <c r="A405" s="283"/>
      <c r="B405" s="283"/>
      <c r="C405" s="283"/>
      <c r="E405" s="283"/>
      <c r="G405" s="283"/>
      <c r="I405" s="283"/>
      <c r="K405" s="283"/>
      <c r="M405" s="283"/>
    </row>
    <row r="406" ht="15.75" customHeight="1">
      <c r="A406" s="283"/>
      <c r="B406" s="283"/>
      <c r="C406" s="283"/>
      <c r="E406" s="283"/>
      <c r="G406" s="283"/>
      <c r="I406" s="283"/>
      <c r="K406" s="283"/>
      <c r="M406" s="283"/>
    </row>
    <row r="407" ht="15.75" customHeight="1">
      <c r="A407" s="283"/>
      <c r="B407" s="283"/>
      <c r="C407" s="283"/>
      <c r="E407" s="283"/>
      <c r="G407" s="283"/>
      <c r="I407" s="283"/>
      <c r="K407" s="283"/>
      <c r="M407" s="283"/>
    </row>
    <row r="408" ht="15.75" customHeight="1">
      <c r="A408" s="283"/>
      <c r="B408" s="283"/>
      <c r="C408" s="283"/>
      <c r="E408" s="283"/>
      <c r="G408" s="283"/>
      <c r="I408" s="283"/>
      <c r="K408" s="283"/>
      <c r="M408" s="283"/>
    </row>
    <row r="409" ht="15.75" customHeight="1">
      <c r="A409" s="283"/>
      <c r="B409" s="283"/>
      <c r="C409" s="283"/>
      <c r="E409" s="283"/>
      <c r="G409" s="283"/>
      <c r="I409" s="283"/>
      <c r="K409" s="283"/>
      <c r="M409" s="283"/>
    </row>
    <row r="410" ht="15.75" customHeight="1">
      <c r="A410" s="283"/>
      <c r="B410" s="283"/>
      <c r="C410" s="283"/>
      <c r="E410" s="283"/>
      <c r="G410" s="283"/>
      <c r="I410" s="283"/>
      <c r="K410" s="283"/>
      <c r="M410" s="283"/>
    </row>
    <row r="411" ht="15.75" customHeight="1">
      <c r="A411" s="283"/>
      <c r="B411" s="283"/>
      <c r="C411" s="283"/>
      <c r="E411" s="283"/>
      <c r="G411" s="283"/>
      <c r="I411" s="283"/>
      <c r="K411" s="283"/>
      <c r="M411" s="283"/>
    </row>
    <row r="412" ht="15.75" customHeight="1">
      <c r="A412" s="283"/>
      <c r="B412" s="283"/>
      <c r="C412" s="283"/>
      <c r="E412" s="283"/>
      <c r="G412" s="283"/>
      <c r="I412" s="283"/>
      <c r="K412" s="283"/>
      <c r="M412" s="283"/>
    </row>
    <row r="413" ht="15.75" customHeight="1">
      <c r="A413" s="283"/>
      <c r="B413" s="283"/>
      <c r="C413" s="283"/>
      <c r="E413" s="283"/>
      <c r="G413" s="283"/>
      <c r="I413" s="283"/>
      <c r="K413" s="283"/>
      <c r="M413" s="283"/>
    </row>
    <row r="414" ht="15.75" customHeight="1">
      <c r="A414" s="283"/>
      <c r="B414" s="283"/>
      <c r="C414" s="283"/>
      <c r="E414" s="283"/>
      <c r="G414" s="283"/>
      <c r="I414" s="283"/>
      <c r="K414" s="283"/>
      <c r="M414" s="283"/>
    </row>
    <row r="415" ht="15.75" customHeight="1">
      <c r="A415" s="283"/>
      <c r="B415" s="283"/>
      <c r="C415" s="283"/>
      <c r="E415" s="283"/>
      <c r="G415" s="283"/>
      <c r="I415" s="283"/>
      <c r="K415" s="283"/>
      <c r="M415" s="283"/>
    </row>
    <row r="416" ht="15.75" customHeight="1">
      <c r="A416" s="283"/>
      <c r="B416" s="283"/>
      <c r="C416" s="283"/>
      <c r="E416" s="283"/>
      <c r="G416" s="283"/>
      <c r="I416" s="283"/>
      <c r="K416" s="283"/>
      <c r="M416" s="283"/>
    </row>
    <row r="417" ht="15.75" customHeight="1">
      <c r="A417" s="283"/>
      <c r="B417" s="283"/>
      <c r="C417" s="283"/>
      <c r="E417" s="283"/>
      <c r="G417" s="283"/>
      <c r="I417" s="283"/>
      <c r="K417" s="283"/>
      <c r="M417" s="283"/>
    </row>
    <row r="418" ht="15.75" customHeight="1">
      <c r="A418" s="283"/>
      <c r="B418" s="283"/>
      <c r="C418" s="283"/>
      <c r="E418" s="283"/>
      <c r="G418" s="283"/>
      <c r="I418" s="283"/>
      <c r="K418" s="283"/>
      <c r="M418" s="283"/>
    </row>
    <row r="419" ht="15.75" customHeight="1">
      <c r="A419" s="283"/>
      <c r="B419" s="283"/>
      <c r="C419" s="283"/>
      <c r="E419" s="283"/>
      <c r="G419" s="283"/>
      <c r="I419" s="283"/>
      <c r="K419" s="283"/>
      <c r="M419" s="283"/>
    </row>
    <row r="420" ht="15.75" customHeight="1">
      <c r="A420" s="283"/>
      <c r="B420" s="283"/>
      <c r="C420" s="283"/>
      <c r="E420" s="283"/>
      <c r="G420" s="283"/>
      <c r="I420" s="283"/>
      <c r="K420" s="283"/>
      <c r="M420" s="283"/>
    </row>
    <row r="421" ht="15.75" customHeight="1">
      <c r="A421" s="283"/>
      <c r="B421" s="283"/>
      <c r="C421" s="283"/>
      <c r="E421" s="283"/>
      <c r="G421" s="283"/>
      <c r="I421" s="283"/>
      <c r="K421" s="283"/>
      <c r="M421" s="283"/>
    </row>
    <row r="422" ht="15.75" customHeight="1">
      <c r="A422" s="283"/>
      <c r="B422" s="283"/>
      <c r="C422" s="283"/>
      <c r="E422" s="283"/>
      <c r="G422" s="283"/>
      <c r="I422" s="283"/>
      <c r="K422" s="283"/>
      <c r="M422" s="283"/>
    </row>
    <row r="423" ht="15.75" customHeight="1">
      <c r="A423" s="283"/>
      <c r="B423" s="283"/>
      <c r="C423" s="283"/>
      <c r="E423" s="283"/>
      <c r="G423" s="283"/>
      <c r="I423" s="283"/>
      <c r="K423" s="283"/>
      <c r="M423" s="283"/>
    </row>
    <row r="424" ht="15.75" customHeight="1">
      <c r="A424" s="283"/>
      <c r="B424" s="283"/>
      <c r="C424" s="283"/>
      <c r="E424" s="283"/>
      <c r="G424" s="283"/>
      <c r="I424" s="283"/>
      <c r="K424" s="283"/>
      <c r="M424" s="283"/>
    </row>
    <row r="425" ht="15.75" customHeight="1">
      <c r="A425" s="283"/>
      <c r="B425" s="283"/>
      <c r="C425" s="283"/>
      <c r="E425" s="283"/>
      <c r="G425" s="283"/>
      <c r="I425" s="283"/>
      <c r="K425" s="283"/>
      <c r="M425" s="283"/>
    </row>
    <row r="426" ht="15.75" customHeight="1">
      <c r="A426" s="283"/>
      <c r="B426" s="283"/>
      <c r="C426" s="283"/>
      <c r="E426" s="283"/>
      <c r="G426" s="283"/>
      <c r="I426" s="283"/>
      <c r="K426" s="283"/>
      <c r="M426" s="283"/>
    </row>
    <row r="427" ht="15.75" customHeight="1">
      <c r="A427" s="283"/>
      <c r="B427" s="283"/>
      <c r="C427" s="283"/>
      <c r="E427" s="283"/>
      <c r="G427" s="283"/>
      <c r="I427" s="283"/>
      <c r="K427" s="283"/>
      <c r="M427" s="283"/>
    </row>
    <row r="428" ht="15.75" customHeight="1">
      <c r="A428" s="283"/>
      <c r="B428" s="283"/>
      <c r="C428" s="283"/>
      <c r="E428" s="283"/>
      <c r="G428" s="283"/>
      <c r="I428" s="283"/>
      <c r="K428" s="283"/>
      <c r="M428" s="283"/>
    </row>
    <row r="429" ht="15.75" customHeight="1">
      <c r="A429" s="283"/>
      <c r="B429" s="283"/>
      <c r="C429" s="283"/>
      <c r="E429" s="283"/>
      <c r="G429" s="283"/>
      <c r="I429" s="283"/>
      <c r="K429" s="283"/>
      <c r="M429" s="283"/>
    </row>
    <row r="430" ht="15.75" customHeight="1">
      <c r="A430" s="283"/>
      <c r="B430" s="283"/>
      <c r="C430" s="283"/>
      <c r="E430" s="283"/>
      <c r="G430" s="283"/>
      <c r="I430" s="283"/>
      <c r="K430" s="283"/>
      <c r="M430" s="283"/>
    </row>
    <row r="431" ht="15.75" customHeight="1">
      <c r="A431" s="283"/>
      <c r="B431" s="283"/>
      <c r="C431" s="283"/>
      <c r="E431" s="283"/>
      <c r="G431" s="283"/>
      <c r="I431" s="283"/>
      <c r="K431" s="283"/>
      <c r="M431" s="283"/>
    </row>
    <row r="432" ht="15.75" customHeight="1">
      <c r="A432" s="283"/>
      <c r="B432" s="283"/>
      <c r="C432" s="283"/>
      <c r="E432" s="283"/>
      <c r="G432" s="283"/>
      <c r="I432" s="283"/>
      <c r="K432" s="283"/>
      <c r="M432" s="283"/>
    </row>
    <row r="433" ht="15.75" customHeight="1">
      <c r="A433" s="283"/>
      <c r="B433" s="283"/>
      <c r="C433" s="283"/>
      <c r="E433" s="283"/>
      <c r="G433" s="283"/>
      <c r="I433" s="283"/>
      <c r="K433" s="283"/>
      <c r="M433" s="283"/>
    </row>
    <row r="434" ht="15.75" customHeight="1">
      <c r="A434" s="283"/>
      <c r="B434" s="283"/>
      <c r="C434" s="283"/>
      <c r="E434" s="283"/>
      <c r="G434" s="283"/>
      <c r="I434" s="283"/>
      <c r="K434" s="283"/>
      <c r="M434" s="283"/>
    </row>
    <row r="435" ht="15.75" customHeight="1">
      <c r="A435" s="283"/>
      <c r="B435" s="283"/>
      <c r="C435" s="283"/>
      <c r="E435" s="283"/>
      <c r="G435" s="283"/>
      <c r="I435" s="283"/>
      <c r="K435" s="283"/>
      <c r="M435" s="283"/>
    </row>
    <row r="436" ht="15.75" customHeight="1">
      <c r="A436" s="283"/>
      <c r="B436" s="283"/>
      <c r="C436" s="283"/>
      <c r="E436" s="283"/>
      <c r="G436" s="283"/>
      <c r="I436" s="283"/>
      <c r="K436" s="283"/>
      <c r="M436" s="283"/>
    </row>
    <row r="437" ht="15.75" customHeight="1">
      <c r="A437" s="283"/>
      <c r="B437" s="283"/>
      <c r="C437" s="283"/>
      <c r="E437" s="283"/>
      <c r="G437" s="283"/>
      <c r="I437" s="283"/>
      <c r="K437" s="283"/>
      <c r="M437" s="283"/>
    </row>
    <row r="438" ht="15.75" customHeight="1">
      <c r="A438" s="283"/>
      <c r="B438" s="283"/>
      <c r="C438" s="283"/>
      <c r="E438" s="283"/>
      <c r="G438" s="283"/>
      <c r="I438" s="283"/>
      <c r="K438" s="283"/>
      <c r="M438" s="283"/>
    </row>
    <row r="439" ht="15.75" customHeight="1">
      <c r="A439" s="283"/>
      <c r="B439" s="283"/>
      <c r="C439" s="283"/>
      <c r="E439" s="283"/>
      <c r="G439" s="283"/>
      <c r="I439" s="283"/>
      <c r="K439" s="283"/>
      <c r="M439" s="283"/>
    </row>
    <row r="440" ht="15.75" customHeight="1">
      <c r="A440" s="283"/>
      <c r="B440" s="283"/>
      <c r="C440" s="283"/>
      <c r="E440" s="283"/>
      <c r="G440" s="283"/>
      <c r="I440" s="283"/>
      <c r="K440" s="283"/>
      <c r="M440" s="283"/>
    </row>
    <row r="441" ht="15.75" customHeight="1">
      <c r="A441" s="283"/>
      <c r="B441" s="283"/>
      <c r="C441" s="283"/>
      <c r="E441" s="283"/>
      <c r="G441" s="283"/>
      <c r="I441" s="283"/>
      <c r="K441" s="283"/>
      <c r="M441" s="283"/>
    </row>
    <row r="442" ht="15.75" customHeight="1">
      <c r="A442" s="283"/>
      <c r="B442" s="283"/>
      <c r="C442" s="283"/>
      <c r="E442" s="283"/>
      <c r="G442" s="283"/>
      <c r="I442" s="283"/>
      <c r="K442" s="283"/>
      <c r="M442" s="283"/>
    </row>
    <row r="443" ht="15.75" customHeight="1">
      <c r="A443" s="283"/>
      <c r="B443" s="283"/>
      <c r="C443" s="283"/>
      <c r="E443" s="283"/>
      <c r="G443" s="283"/>
      <c r="I443" s="283"/>
      <c r="K443" s="283"/>
      <c r="M443" s="283"/>
    </row>
    <row r="444" ht="15.75" customHeight="1">
      <c r="A444" s="283"/>
      <c r="B444" s="283"/>
      <c r="C444" s="283"/>
      <c r="E444" s="283"/>
      <c r="G444" s="283"/>
      <c r="I444" s="283"/>
      <c r="K444" s="283"/>
      <c r="M444" s="283"/>
    </row>
    <row r="445" ht="15.75" customHeight="1">
      <c r="A445" s="283"/>
      <c r="B445" s="283"/>
      <c r="C445" s="283"/>
      <c r="E445" s="283"/>
      <c r="G445" s="283"/>
      <c r="I445" s="283"/>
      <c r="K445" s="283"/>
      <c r="M445" s="283"/>
    </row>
    <row r="446" ht="15.75" customHeight="1">
      <c r="A446" s="283"/>
      <c r="B446" s="283"/>
      <c r="C446" s="283"/>
      <c r="E446" s="283"/>
      <c r="G446" s="283"/>
      <c r="I446" s="283"/>
      <c r="K446" s="283"/>
      <c r="M446" s="283"/>
    </row>
    <row r="447" ht="15.75" customHeight="1">
      <c r="A447" s="283"/>
      <c r="B447" s="283"/>
      <c r="C447" s="283"/>
      <c r="E447" s="283"/>
      <c r="G447" s="283"/>
      <c r="I447" s="283"/>
      <c r="K447" s="283"/>
      <c r="M447" s="283"/>
    </row>
    <row r="448" ht="15.75" customHeight="1">
      <c r="A448" s="283"/>
      <c r="B448" s="283"/>
      <c r="C448" s="283"/>
      <c r="E448" s="283"/>
      <c r="G448" s="283"/>
      <c r="I448" s="283"/>
      <c r="K448" s="283"/>
      <c r="M448" s="283"/>
    </row>
    <row r="449" ht="15.75" customHeight="1">
      <c r="A449" s="283"/>
      <c r="B449" s="283"/>
      <c r="C449" s="283"/>
      <c r="E449" s="283"/>
      <c r="G449" s="283"/>
      <c r="I449" s="283"/>
      <c r="K449" s="283"/>
      <c r="M449" s="283"/>
    </row>
    <row r="450" ht="15.75" customHeight="1">
      <c r="A450" s="283"/>
      <c r="B450" s="283"/>
      <c r="C450" s="283"/>
      <c r="E450" s="283"/>
      <c r="G450" s="283"/>
      <c r="I450" s="283"/>
      <c r="K450" s="283"/>
      <c r="M450" s="283"/>
    </row>
    <row r="451" ht="15.75" customHeight="1">
      <c r="A451" s="283"/>
      <c r="B451" s="283"/>
      <c r="C451" s="283"/>
      <c r="E451" s="283"/>
      <c r="G451" s="283"/>
      <c r="I451" s="283"/>
      <c r="K451" s="283"/>
      <c r="M451" s="283"/>
    </row>
    <row r="452" ht="15.75" customHeight="1">
      <c r="A452" s="283"/>
      <c r="B452" s="283"/>
      <c r="C452" s="283"/>
      <c r="E452" s="283"/>
      <c r="G452" s="283"/>
      <c r="I452" s="283"/>
      <c r="K452" s="283"/>
      <c r="M452" s="283"/>
    </row>
    <row r="453" ht="15.75" customHeight="1">
      <c r="A453" s="283"/>
      <c r="B453" s="283"/>
      <c r="C453" s="283"/>
      <c r="E453" s="283"/>
      <c r="G453" s="283"/>
      <c r="I453" s="283"/>
      <c r="K453" s="283"/>
      <c r="M453" s="283"/>
    </row>
    <row r="454" ht="15.75" customHeight="1">
      <c r="A454" s="283"/>
      <c r="B454" s="283"/>
      <c r="C454" s="283"/>
      <c r="E454" s="283"/>
      <c r="G454" s="283"/>
      <c r="I454" s="283"/>
      <c r="K454" s="283"/>
      <c r="M454" s="283"/>
    </row>
    <row r="455" ht="15.75" customHeight="1">
      <c r="A455" s="283"/>
      <c r="B455" s="283"/>
      <c r="C455" s="283"/>
      <c r="E455" s="283"/>
      <c r="G455" s="283"/>
      <c r="I455" s="283"/>
      <c r="K455" s="283"/>
      <c r="M455" s="283"/>
    </row>
    <row r="456" ht="15.75" customHeight="1">
      <c r="A456" s="283"/>
      <c r="B456" s="283"/>
      <c r="C456" s="283"/>
      <c r="E456" s="283"/>
      <c r="G456" s="283"/>
      <c r="I456" s="283"/>
      <c r="K456" s="283"/>
      <c r="M456" s="283"/>
    </row>
    <row r="457" ht="15.75" customHeight="1">
      <c r="A457" s="283"/>
      <c r="B457" s="283"/>
      <c r="C457" s="283"/>
      <c r="E457" s="283"/>
      <c r="G457" s="283"/>
      <c r="I457" s="283"/>
      <c r="K457" s="283"/>
      <c r="M457" s="283"/>
    </row>
    <row r="458" ht="15.75" customHeight="1">
      <c r="A458" s="283"/>
      <c r="B458" s="283"/>
      <c r="C458" s="283"/>
      <c r="E458" s="283"/>
      <c r="G458" s="283"/>
      <c r="I458" s="283"/>
      <c r="K458" s="283"/>
      <c r="M458" s="283"/>
    </row>
    <row r="459" ht="15.75" customHeight="1">
      <c r="A459" s="283"/>
      <c r="B459" s="283"/>
      <c r="C459" s="283"/>
      <c r="E459" s="283"/>
      <c r="G459" s="283"/>
      <c r="I459" s="283"/>
      <c r="K459" s="283"/>
      <c r="M459" s="283"/>
    </row>
    <row r="460" ht="15.75" customHeight="1">
      <c r="A460" s="283"/>
      <c r="B460" s="283"/>
      <c r="C460" s="283"/>
      <c r="E460" s="283"/>
      <c r="G460" s="283"/>
      <c r="I460" s="283"/>
      <c r="K460" s="283"/>
      <c r="M460" s="283"/>
    </row>
    <row r="461" ht="15.75" customHeight="1">
      <c r="A461" s="283"/>
      <c r="B461" s="283"/>
      <c r="C461" s="283"/>
      <c r="E461" s="283"/>
      <c r="G461" s="283"/>
      <c r="I461" s="283"/>
      <c r="K461" s="283"/>
      <c r="M461" s="283"/>
    </row>
    <row r="462" ht="15.75" customHeight="1">
      <c r="A462" s="283"/>
      <c r="B462" s="283"/>
      <c r="C462" s="283"/>
      <c r="E462" s="283"/>
      <c r="G462" s="283"/>
      <c r="I462" s="283"/>
      <c r="K462" s="283"/>
      <c r="M462" s="283"/>
    </row>
    <row r="463" ht="15.75" customHeight="1">
      <c r="A463" s="283"/>
      <c r="B463" s="283"/>
      <c r="C463" s="283"/>
      <c r="E463" s="283"/>
      <c r="G463" s="283"/>
      <c r="I463" s="283"/>
      <c r="K463" s="283"/>
      <c r="M463" s="283"/>
    </row>
    <row r="464" ht="15.75" customHeight="1">
      <c r="A464" s="283"/>
      <c r="B464" s="283"/>
      <c r="C464" s="283"/>
      <c r="E464" s="283"/>
      <c r="G464" s="283"/>
      <c r="I464" s="283"/>
      <c r="K464" s="283"/>
      <c r="M464" s="283"/>
    </row>
    <row r="465" ht="15.75" customHeight="1">
      <c r="A465" s="283"/>
      <c r="B465" s="283"/>
      <c r="C465" s="283"/>
      <c r="E465" s="283"/>
      <c r="G465" s="283"/>
      <c r="I465" s="283"/>
      <c r="K465" s="283"/>
      <c r="M465" s="283"/>
    </row>
    <row r="466" ht="15.75" customHeight="1">
      <c r="A466" s="283"/>
      <c r="B466" s="283"/>
      <c r="C466" s="283"/>
      <c r="E466" s="283"/>
      <c r="G466" s="283"/>
      <c r="I466" s="283"/>
      <c r="K466" s="283"/>
      <c r="M466" s="283"/>
    </row>
    <row r="467" ht="15.75" customHeight="1">
      <c r="A467" s="283"/>
      <c r="B467" s="283"/>
      <c r="C467" s="283"/>
      <c r="E467" s="283"/>
      <c r="G467" s="283"/>
      <c r="I467" s="283"/>
      <c r="K467" s="283"/>
      <c r="M467" s="283"/>
    </row>
    <row r="468" ht="15.75" customHeight="1">
      <c r="A468" s="283"/>
      <c r="B468" s="283"/>
      <c r="C468" s="283"/>
      <c r="E468" s="283"/>
      <c r="G468" s="283"/>
      <c r="I468" s="283"/>
      <c r="K468" s="283"/>
      <c r="M468" s="283"/>
    </row>
    <row r="469" ht="15.75" customHeight="1">
      <c r="A469" s="283"/>
      <c r="B469" s="283"/>
      <c r="C469" s="283"/>
      <c r="E469" s="283"/>
      <c r="G469" s="283"/>
      <c r="I469" s="283"/>
      <c r="K469" s="283"/>
      <c r="M469" s="283"/>
    </row>
    <row r="470" ht="15.75" customHeight="1">
      <c r="A470" s="283"/>
      <c r="B470" s="283"/>
      <c r="C470" s="283"/>
      <c r="E470" s="283"/>
      <c r="G470" s="283"/>
      <c r="I470" s="283"/>
      <c r="K470" s="283"/>
      <c r="M470" s="283"/>
    </row>
    <row r="471" ht="15.75" customHeight="1">
      <c r="A471" s="283"/>
      <c r="B471" s="283"/>
      <c r="C471" s="283"/>
      <c r="E471" s="283"/>
      <c r="G471" s="283"/>
      <c r="I471" s="283"/>
      <c r="K471" s="283"/>
      <c r="M471" s="283"/>
    </row>
    <row r="472" ht="15.75" customHeight="1">
      <c r="A472" s="283"/>
      <c r="B472" s="283"/>
      <c r="C472" s="283"/>
      <c r="E472" s="283"/>
      <c r="G472" s="283"/>
      <c r="I472" s="283"/>
      <c r="K472" s="283"/>
      <c r="M472" s="283"/>
    </row>
    <row r="473" ht="15.75" customHeight="1">
      <c r="A473" s="283"/>
      <c r="B473" s="283"/>
      <c r="C473" s="283"/>
      <c r="E473" s="283"/>
      <c r="G473" s="283"/>
      <c r="I473" s="283"/>
      <c r="K473" s="283"/>
      <c r="M473" s="283"/>
    </row>
    <row r="474" ht="15.75" customHeight="1">
      <c r="A474" s="283"/>
      <c r="B474" s="283"/>
      <c r="C474" s="283"/>
      <c r="E474" s="283"/>
      <c r="G474" s="283"/>
      <c r="I474" s="283"/>
      <c r="K474" s="283"/>
      <c r="M474" s="283"/>
    </row>
    <row r="475" ht="15.75" customHeight="1">
      <c r="A475" s="283"/>
      <c r="B475" s="283"/>
      <c r="C475" s="283"/>
      <c r="E475" s="283"/>
      <c r="G475" s="283"/>
      <c r="I475" s="283"/>
      <c r="K475" s="283"/>
      <c r="M475" s="283"/>
    </row>
    <row r="476" ht="15.75" customHeight="1">
      <c r="A476" s="283"/>
      <c r="B476" s="283"/>
      <c r="C476" s="283"/>
      <c r="E476" s="283"/>
      <c r="G476" s="283"/>
      <c r="I476" s="283"/>
      <c r="K476" s="283"/>
      <c r="M476" s="283"/>
    </row>
    <row r="477" ht="15.75" customHeight="1">
      <c r="A477" s="283"/>
      <c r="B477" s="283"/>
      <c r="C477" s="283"/>
      <c r="E477" s="283"/>
      <c r="G477" s="283"/>
      <c r="I477" s="283"/>
      <c r="K477" s="283"/>
      <c r="M477" s="283"/>
    </row>
    <row r="478" ht="15.75" customHeight="1">
      <c r="A478" s="283"/>
      <c r="B478" s="283"/>
      <c r="C478" s="283"/>
      <c r="E478" s="283"/>
      <c r="G478" s="283"/>
      <c r="I478" s="283"/>
      <c r="K478" s="283"/>
      <c r="M478" s="283"/>
    </row>
    <row r="479" ht="15.75" customHeight="1">
      <c r="A479" s="283"/>
      <c r="B479" s="283"/>
      <c r="C479" s="283"/>
      <c r="E479" s="283"/>
      <c r="G479" s="283"/>
      <c r="I479" s="283"/>
      <c r="K479" s="283"/>
      <c r="M479" s="283"/>
    </row>
    <row r="480" ht="15.75" customHeight="1">
      <c r="A480" s="283"/>
      <c r="B480" s="283"/>
      <c r="C480" s="283"/>
      <c r="E480" s="283"/>
      <c r="G480" s="283"/>
      <c r="I480" s="283"/>
      <c r="K480" s="283"/>
      <c r="M480" s="283"/>
    </row>
    <row r="481" ht="15.75" customHeight="1">
      <c r="A481" s="283"/>
      <c r="B481" s="283"/>
      <c r="C481" s="283"/>
      <c r="E481" s="283"/>
      <c r="G481" s="283"/>
      <c r="I481" s="283"/>
      <c r="K481" s="283"/>
      <c r="M481" s="283"/>
    </row>
    <row r="482" ht="15.75" customHeight="1">
      <c r="A482" s="283"/>
      <c r="B482" s="283"/>
      <c r="C482" s="283"/>
      <c r="E482" s="283"/>
      <c r="G482" s="283"/>
      <c r="I482" s="283"/>
      <c r="K482" s="283"/>
      <c r="M482" s="283"/>
    </row>
    <row r="483" ht="15.75" customHeight="1">
      <c r="A483" s="283"/>
      <c r="B483" s="283"/>
      <c r="C483" s="283"/>
      <c r="E483" s="283"/>
      <c r="G483" s="283"/>
      <c r="I483" s="283"/>
      <c r="K483" s="283"/>
      <c r="M483" s="283"/>
    </row>
    <row r="484" ht="15.75" customHeight="1">
      <c r="A484" s="283"/>
      <c r="B484" s="283"/>
      <c r="C484" s="283"/>
      <c r="E484" s="283"/>
      <c r="G484" s="283"/>
      <c r="I484" s="283"/>
      <c r="K484" s="283"/>
      <c r="M484" s="283"/>
    </row>
    <row r="485" ht="15.75" customHeight="1">
      <c r="A485" s="283"/>
      <c r="B485" s="283"/>
      <c r="C485" s="283"/>
      <c r="E485" s="283"/>
      <c r="G485" s="283"/>
      <c r="I485" s="283"/>
      <c r="K485" s="283"/>
      <c r="M485" s="283"/>
    </row>
    <row r="486" ht="15.75" customHeight="1">
      <c r="A486" s="283"/>
      <c r="B486" s="283"/>
      <c r="C486" s="283"/>
      <c r="E486" s="283"/>
      <c r="G486" s="283"/>
      <c r="I486" s="283"/>
      <c r="K486" s="283"/>
      <c r="M486" s="283"/>
    </row>
    <row r="487" ht="15.75" customHeight="1">
      <c r="A487" s="283"/>
      <c r="B487" s="283"/>
      <c r="C487" s="283"/>
      <c r="E487" s="283"/>
      <c r="G487" s="283"/>
      <c r="I487" s="283"/>
      <c r="K487" s="283"/>
      <c r="M487" s="283"/>
    </row>
    <row r="488" ht="15.75" customHeight="1">
      <c r="A488" s="283"/>
      <c r="B488" s="283"/>
      <c r="C488" s="283"/>
      <c r="E488" s="283"/>
      <c r="G488" s="283"/>
      <c r="I488" s="283"/>
      <c r="K488" s="283"/>
      <c r="M488" s="283"/>
    </row>
    <row r="489" ht="15.75" customHeight="1">
      <c r="A489" s="283"/>
      <c r="B489" s="283"/>
      <c r="C489" s="283"/>
      <c r="E489" s="283"/>
      <c r="G489" s="283"/>
      <c r="I489" s="283"/>
      <c r="K489" s="283"/>
      <c r="M489" s="283"/>
    </row>
    <row r="490" ht="15.75" customHeight="1">
      <c r="A490" s="283"/>
      <c r="B490" s="283"/>
      <c r="C490" s="283"/>
      <c r="E490" s="283"/>
      <c r="G490" s="283"/>
      <c r="I490" s="283"/>
      <c r="K490" s="283"/>
      <c r="M490" s="283"/>
    </row>
    <row r="491" ht="15.75" customHeight="1">
      <c r="A491" s="283"/>
      <c r="B491" s="283"/>
      <c r="C491" s="283"/>
      <c r="E491" s="283"/>
      <c r="G491" s="283"/>
      <c r="I491" s="283"/>
      <c r="K491" s="283"/>
      <c r="M491" s="283"/>
    </row>
    <row r="492" ht="15.75" customHeight="1">
      <c r="A492" s="283"/>
      <c r="B492" s="283"/>
      <c r="C492" s="283"/>
      <c r="E492" s="283"/>
      <c r="G492" s="283"/>
      <c r="I492" s="283"/>
      <c r="K492" s="283"/>
      <c r="M492" s="283"/>
    </row>
    <row r="493" ht="15.75" customHeight="1">
      <c r="A493" s="283"/>
      <c r="B493" s="283"/>
      <c r="C493" s="283"/>
      <c r="E493" s="283"/>
      <c r="G493" s="283"/>
      <c r="I493" s="283"/>
      <c r="K493" s="283"/>
      <c r="M493" s="283"/>
    </row>
    <row r="494" ht="15.75" customHeight="1">
      <c r="A494" s="283"/>
      <c r="B494" s="283"/>
      <c r="C494" s="283"/>
      <c r="E494" s="283"/>
      <c r="G494" s="283"/>
      <c r="I494" s="283"/>
      <c r="K494" s="283"/>
      <c r="M494" s="283"/>
    </row>
    <row r="495" ht="15.75" customHeight="1">
      <c r="A495" s="283"/>
      <c r="B495" s="283"/>
      <c r="C495" s="283"/>
      <c r="E495" s="283"/>
      <c r="G495" s="283"/>
      <c r="I495" s="283"/>
      <c r="K495" s="283"/>
      <c r="M495" s="283"/>
    </row>
    <row r="496" ht="15.75" customHeight="1">
      <c r="A496" s="283"/>
      <c r="B496" s="283"/>
      <c r="C496" s="283"/>
      <c r="E496" s="283"/>
      <c r="G496" s="283"/>
      <c r="I496" s="283"/>
      <c r="K496" s="283"/>
      <c r="M496" s="283"/>
    </row>
    <row r="497" ht="15.75" customHeight="1">
      <c r="A497" s="283"/>
      <c r="B497" s="283"/>
      <c r="C497" s="283"/>
      <c r="E497" s="283"/>
      <c r="G497" s="283"/>
      <c r="I497" s="283"/>
      <c r="K497" s="283"/>
      <c r="M497" s="283"/>
    </row>
    <row r="498" ht="15.75" customHeight="1">
      <c r="A498" s="283"/>
      <c r="B498" s="283"/>
      <c r="C498" s="283"/>
      <c r="E498" s="283"/>
      <c r="G498" s="283"/>
      <c r="I498" s="283"/>
      <c r="K498" s="283"/>
      <c r="M498" s="283"/>
    </row>
    <row r="499" ht="15.75" customHeight="1">
      <c r="A499" s="283"/>
      <c r="B499" s="283"/>
      <c r="C499" s="283"/>
      <c r="E499" s="283"/>
      <c r="G499" s="283"/>
      <c r="I499" s="283"/>
      <c r="K499" s="283"/>
      <c r="M499" s="283"/>
    </row>
    <row r="500" ht="15.75" customHeight="1">
      <c r="A500" s="283"/>
      <c r="B500" s="283"/>
      <c r="C500" s="283"/>
      <c r="E500" s="283"/>
      <c r="G500" s="283"/>
      <c r="I500" s="283"/>
      <c r="K500" s="283"/>
      <c r="M500" s="283"/>
    </row>
    <row r="501" ht="15.75" customHeight="1">
      <c r="A501" s="283"/>
      <c r="B501" s="283"/>
      <c r="C501" s="283"/>
      <c r="E501" s="283"/>
      <c r="G501" s="283"/>
      <c r="I501" s="283"/>
      <c r="K501" s="283"/>
      <c r="M501" s="283"/>
    </row>
    <row r="502" ht="15.75" customHeight="1">
      <c r="A502" s="283"/>
      <c r="B502" s="283"/>
      <c r="C502" s="283"/>
      <c r="E502" s="283"/>
      <c r="G502" s="283"/>
      <c r="I502" s="283"/>
      <c r="K502" s="283"/>
      <c r="M502" s="283"/>
    </row>
    <row r="503" ht="15.75" customHeight="1">
      <c r="A503" s="283"/>
      <c r="B503" s="283"/>
      <c r="C503" s="283"/>
      <c r="E503" s="283"/>
      <c r="G503" s="283"/>
      <c r="I503" s="283"/>
      <c r="K503" s="283"/>
      <c r="M503" s="283"/>
    </row>
    <row r="504" ht="15.75" customHeight="1">
      <c r="A504" s="283"/>
      <c r="B504" s="283"/>
      <c r="C504" s="283"/>
      <c r="E504" s="283"/>
      <c r="G504" s="283"/>
      <c r="I504" s="283"/>
      <c r="K504" s="283"/>
      <c r="M504" s="283"/>
    </row>
    <row r="505" ht="15.75" customHeight="1">
      <c r="A505" s="283"/>
      <c r="B505" s="283"/>
      <c r="C505" s="283"/>
      <c r="E505" s="283"/>
      <c r="G505" s="283"/>
      <c r="I505" s="283"/>
      <c r="K505" s="283"/>
      <c r="M505" s="283"/>
    </row>
    <row r="506" ht="15.75" customHeight="1">
      <c r="A506" s="283"/>
      <c r="B506" s="283"/>
      <c r="C506" s="283"/>
      <c r="E506" s="283"/>
      <c r="G506" s="283"/>
      <c r="I506" s="283"/>
      <c r="K506" s="283"/>
      <c r="M506" s="283"/>
    </row>
    <row r="507" ht="15.75" customHeight="1">
      <c r="A507" s="283"/>
      <c r="B507" s="283"/>
      <c r="C507" s="283"/>
      <c r="E507" s="283"/>
      <c r="G507" s="283"/>
      <c r="I507" s="283"/>
      <c r="K507" s="283"/>
      <c r="M507" s="283"/>
    </row>
    <row r="508" ht="15.75" customHeight="1">
      <c r="A508" s="283"/>
      <c r="B508" s="283"/>
      <c r="C508" s="283"/>
      <c r="E508" s="283"/>
      <c r="G508" s="283"/>
      <c r="I508" s="283"/>
      <c r="K508" s="283"/>
      <c r="M508" s="283"/>
    </row>
    <row r="509" ht="15.75" customHeight="1">
      <c r="A509" s="283"/>
      <c r="B509" s="283"/>
      <c r="C509" s="283"/>
      <c r="E509" s="283"/>
      <c r="G509" s="283"/>
      <c r="I509" s="283"/>
      <c r="K509" s="283"/>
      <c r="M509" s="283"/>
    </row>
    <row r="510" ht="15.75" customHeight="1">
      <c r="A510" s="283"/>
      <c r="B510" s="283"/>
      <c r="C510" s="283"/>
      <c r="E510" s="283"/>
      <c r="G510" s="283"/>
      <c r="I510" s="283"/>
      <c r="K510" s="283"/>
      <c r="M510" s="283"/>
    </row>
    <row r="511" ht="15.75" customHeight="1">
      <c r="A511" s="283"/>
      <c r="B511" s="283"/>
      <c r="C511" s="283"/>
      <c r="E511" s="283"/>
      <c r="G511" s="283"/>
      <c r="I511" s="283"/>
      <c r="K511" s="283"/>
      <c r="M511" s="283"/>
    </row>
    <row r="512" ht="15.75" customHeight="1">
      <c r="A512" s="283"/>
      <c r="B512" s="283"/>
      <c r="C512" s="283"/>
      <c r="E512" s="283"/>
      <c r="G512" s="283"/>
      <c r="I512" s="283"/>
      <c r="K512" s="283"/>
      <c r="M512" s="283"/>
    </row>
    <row r="513" ht="15.75" customHeight="1">
      <c r="A513" s="283"/>
      <c r="B513" s="283"/>
      <c r="C513" s="283"/>
      <c r="E513" s="283"/>
      <c r="G513" s="283"/>
      <c r="I513" s="283"/>
      <c r="K513" s="283"/>
      <c r="M513" s="283"/>
    </row>
    <row r="514" ht="15.75" customHeight="1">
      <c r="A514" s="283"/>
      <c r="B514" s="283"/>
      <c r="C514" s="283"/>
      <c r="E514" s="283"/>
      <c r="G514" s="283"/>
      <c r="I514" s="283"/>
      <c r="K514" s="283"/>
      <c r="M514" s="283"/>
    </row>
    <row r="515" ht="15.75" customHeight="1">
      <c r="A515" s="283"/>
      <c r="B515" s="283"/>
      <c r="C515" s="283"/>
      <c r="E515" s="283"/>
      <c r="G515" s="283"/>
      <c r="I515" s="283"/>
      <c r="K515" s="283"/>
      <c r="M515" s="283"/>
    </row>
    <row r="516" ht="15.75" customHeight="1">
      <c r="A516" s="283"/>
      <c r="B516" s="283"/>
      <c r="C516" s="283"/>
      <c r="E516" s="283"/>
      <c r="G516" s="283"/>
      <c r="I516" s="283"/>
      <c r="K516" s="283"/>
      <c r="M516" s="283"/>
    </row>
    <row r="517" ht="15.75" customHeight="1">
      <c r="A517" s="283"/>
      <c r="B517" s="283"/>
      <c r="C517" s="283"/>
      <c r="E517" s="283"/>
      <c r="G517" s="283"/>
      <c r="I517" s="283"/>
      <c r="K517" s="283"/>
      <c r="M517" s="283"/>
    </row>
    <row r="518" ht="15.75" customHeight="1">
      <c r="A518" s="283"/>
      <c r="B518" s="283"/>
      <c r="C518" s="283"/>
      <c r="E518" s="283"/>
      <c r="G518" s="283"/>
      <c r="I518" s="283"/>
      <c r="K518" s="283"/>
      <c r="M518" s="283"/>
    </row>
    <row r="519" ht="15.75" customHeight="1">
      <c r="A519" s="283"/>
      <c r="B519" s="283"/>
      <c r="C519" s="283"/>
      <c r="E519" s="283"/>
      <c r="G519" s="283"/>
      <c r="I519" s="283"/>
      <c r="K519" s="283"/>
      <c r="M519" s="283"/>
    </row>
    <row r="520" ht="15.75" customHeight="1">
      <c r="A520" s="283"/>
      <c r="B520" s="283"/>
      <c r="C520" s="283"/>
      <c r="E520" s="283"/>
      <c r="G520" s="283"/>
      <c r="I520" s="283"/>
      <c r="K520" s="283"/>
      <c r="M520" s="283"/>
    </row>
    <row r="521" ht="15.75" customHeight="1">
      <c r="A521" s="283"/>
      <c r="B521" s="283"/>
      <c r="C521" s="283"/>
      <c r="E521" s="283"/>
      <c r="G521" s="283"/>
      <c r="I521" s="283"/>
      <c r="K521" s="283"/>
      <c r="M521" s="283"/>
    </row>
    <row r="522" ht="15.75" customHeight="1">
      <c r="A522" s="283"/>
      <c r="B522" s="283"/>
      <c r="C522" s="283"/>
      <c r="E522" s="283"/>
      <c r="G522" s="283"/>
      <c r="I522" s="283"/>
      <c r="K522" s="283"/>
      <c r="M522" s="283"/>
    </row>
    <row r="523" ht="15.75" customHeight="1">
      <c r="A523" s="283"/>
      <c r="B523" s="283"/>
      <c r="C523" s="283"/>
      <c r="E523" s="283"/>
      <c r="G523" s="283"/>
      <c r="I523" s="283"/>
      <c r="K523" s="283"/>
      <c r="M523" s="283"/>
    </row>
    <row r="524" ht="15.75" customHeight="1">
      <c r="A524" s="283"/>
      <c r="B524" s="283"/>
      <c r="C524" s="283"/>
      <c r="E524" s="283"/>
      <c r="G524" s="283"/>
      <c r="I524" s="283"/>
      <c r="K524" s="283"/>
      <c r="M524" s="283"/>
    </row>
    <row r="525" ht="15.75" customHeight="1">
      <c r="A525" s="283"/>
      <c r="B525" s="283"/>
      <c r="C525" s="283"/>
      <c r="E525" s="283"/>
      <c r="G525" s="283"/>
      <c r="I525" s="283"/>
      <c r="K525" s="283"/>
      <c r="M525" s="283"/>
    </row>
    <row r="526" ht="15.75" customHeight="1">
      <c r="A526" s="283"/>
      <c r="B526" s="283"/>
      <c r="C526" s="283"/>
      <c r="E526" s="283"/>
      <c r="G526" s="283"/>
      <c r="I526" s="283"/>
      <c r="K526" s="283"/>
      <c r="M526" s="283"/>
    </row>
    <row r="527" ht="15.75" customHeight="1">
      <c r="A527" s="283"/>
      <c r="B527" s="283"/>
      <c r="C527" s="283"/>
      <c r="E527" s="283"/>
      <c r="G527" s="283"/>
      <c r="I527" s="283"/>
      <c r="K527" s="283"/>
      <c r="M527" s="283"/>
    </row>
    <row r="528" ht="15.75" customHeight="1">
      <c r="A528" s="283"/>
      <c r="B528" s="283"/>
      <c r="C528" s="283"/>
      <c r="E528" s="283"/>
      <c r="G528" s="283"/>
      <c r="I528" s="283"/>
      <c r="K528" s="283"/>
      <c r="M528" s="283"/>
    </row>
    <row r="529" ht="15.75" customHeight="1">
      <c r="A529" s="283"/>
      <c r="B529" s="283"/>
      <c r="C529" s="283"/>
      <c r="E529" s="283"/>
      <c r="G529" s="283"/>
      <c r="I529" s="283"/>
      <c r="K529" s="283"/>
      <c r="M529" s="283"/>
    </row>
    <row r="530" ht="15.75" customHeight="1">
      <c r="A530" s="283"/>
      <c r="B530" s="283"/>
      <c r="C530" s="283"/>
      <c r="E530" s="283"/>
      <c r="G530" s="283"/>
      <c r="I530" s="283"/>
      <c r="K530" s="283"/>
      <c r="M530" s="283"/>
    </row>
    <row r="531" ht="15.75" customHeight="1">
      <c r="A531" s="283"/>
      <c r="B531" s="283"/>
      <c r="C531" s="283"/>
      <c r="E531" s="283"/>
      <c r="G531" s="283"/>
      <c r="I531" s="283"/>
      <c r="K531" s="283"/>
      <c r="M531" s="283"/>
    </row>
    <row r="532" ht="15.75" customHeight="1">
      <c r="A532" s="283"/>
      <c r="B532" s="283"/>
      <c r="C532" s="283"/>
      <c r="E532" s="283"/>
      <c r="G532" s="283"/>
      <c r="I532" s="283"/>
      <c r="K532" s="283"/>
      <c r="M532" s="283"/>
    </row>
    <row r="533" ht="15.75" customHeight="1">
      <c r="A533" s="283"/>
      <c r="B533" s="283"/>
      <c r="C533" s="283"/>
      <c r="E533" s="283"/>
      <c r="G533" s="283"/>
      <c r="I533" s="283"/>
      <c r="K533" s="283"/>
      <c r="M533" s="283"/>
    </row>
    <row r="534" ht="15.75" customHeight="1">
      <c r="A534" s="283"/>
      <c r="B534" s="283"/>
      <c r="C534" s="283"/>
      <c r="E534" s="283"/>
      <c r="G534" s="283"/>
      <c r="I534" s="283"/>
      <c r="K534" s="283"/>
      <c r="M534" s="283"/>
    </row>
    <row r="535" ht="15.75" customHeight="1">
      <c r="A535" s="283"/>
      <c r="B535" s="283"/>
      <c r="C535" s="283"/>
      <c r="E535" s="283"/>
      <c r="G535" s="283"/>
      <c r="I535" s="283"/>
      <c r="K535" s="283"/>
      <c r="M535" s="283"/>
    </row>
    <row r="536" ht="15.75" customHeight="1">
      <c r="A536" s="283"/>
      <c r="B536" s="283"/>
      <c r="C536" s="283"/>
      <c r="E536" s="283"/>
      <c r="G536" s="283"/>
      <c r="I536" s="283"/>
      <c r="K536" s="283"/>
      <c r="M536" s="283"/>
    </row>
    <row r="537" ht="15.75" customHeight="1">
      <c r="A537" s="283"/>
      <c r="B537" s="283"/>
      <c r="C537" s="283"/>
      <c r="E537" s="283"/>
      <c r="G537" s="283"/>
      <c r="I537" s="283"/>
      <c r="K537" s="283"/>
      <c r="M537" s="283"/>
    </row>
    <row r="538" ht="15.75" customHeight="1">
      <c r="A538" s="283"/>
      <c r="B538" s="283"/>
      <c r="C538" s="283"/>
      <c r="E538" s="283"/>
      <c r="G538" s="283"/>
      <c r="I538" s="283"/>
      <c r="K538" s="283"/>
      <c r="M538" s="283"/>
    </row>
    <row r="539" ht="15.75" customHeight="1">
      <c r="A539" s="283"/>
      <c r="B539" s="283"/>
      <c r="C539" s="283"/>
      <c r="E539" s="283"/>
      <c r="G539" s="283"/>
      <c r="I539" s="283"/>
      <c r="K539" s="283"/>
      <c r="M539" s="283"/>
    </row>
    <row r="540" ht="15.75" customHeight="1">
      <c r="A540" s="283"/>
      <c r="B540" s="283"/>
      <c r="C540" s="283"/>
      <c r="E540" s="283"/>
      <c r="G540" s="283"/>
      <c r="I540" s="283"/>
      <c r="K540" s="283"/>
      <c r="M540" s="283"/>
    </row>
    <row r="541" ht="15.75" customHeight="1">
      <c r="A541" s="283"/>
      <c r="B541" s="283"/>
      <c r="C541" s="283"/>
      <c r="E541" s="283"/>
      <c r="G541" s="283"/>
      <c r="I541" s="283"/>
      <c r="K541" s="283"/>
      <c r="M541" s="283"/>
    </row>
    <row r="542" ht="15.75" customHeight="1">
      <c r="A542" s="283"/>
      <c r="B542" s="283"/>
      <c r="C542" s="283"/>
      <c r="E542" s="283"/>
      <c r="G542" s="283"/>
      <c r="I542" s="283"/>
      <c r="K542" s="283"/>
      <c r="M542" s="283"/>
    </row>
    <row r="543" ht="15.75" customHeight="1">
      <c r="A543" s="283"/>
      <c r="B543" s="283"/>
      <c r="C543" s="283"/>
      <c r="E543" s="283"/>
      <c r="G543" s="283"/>
      <c r="I543" s="283"/>
      <c r="K543" s="283"/>
      <c r="M543" s="283"/>
    </row>
    <row r="544" ht="15.75" customHeight="1">
      <c r="A544" s="283"/>
      <c r="B544" s="283"/>
      <c r="C544" s="283"/>
      <c r="E544" s="283"/>
      <c r="G544" s="283"/>
      <c r="I544" s="283"/>
      <c r="K544" s="283"/>
      <c r="M544" s="283"/>
    </row>
    <row r="545" ht="15.75" customHeight="1">
      <c r="A545" s="283"/>
      <c r="B545" s="283"/>
      <c r="C545" s="283"/>
      <c r="E545" s="283"/>
      <c r="G545" s="283"/>
      <c r="I545" s="283"/>
      <c r="K545" s="283"/>
      <c r="M545" s="283"/>
    </row>
    <row r="546" ht="15.75" customHeight="1">
      <c r="A546" s="283"/>
      <c r="B546" s="283"/>
      <c r="C546" s="283"/>
      <c r="E546" s="283"/>
      <c r="G546" s="283"/>
      <c r="I546" s="283"/>
      <c r="K546" s="283"/>
      <c r="M546" s="283"/>
    </row>
    <row r="547" ht="15.75" customHeight="1">
      <c r="A547" s="283"/>
      <c r="B547" s="283"/>
      <c r="C547" s="283"/>
      <c r="E547" s="283"/>
      <c r="G547" s="283"/>
      <c r="I547" s="283"/>
      <c r="K547" s="283"/>
      <c r="M547" s="283"/>
    </row>
    <row r="548" ht="15.75" customHeight="1">
      <c r="A548" s="283"/>
      <c r="B548" s="283"/>
      <c r="C548" s="283"/>
      <c r="E548" s="283"/>
      <c r="G548" s="283"/>
      <c r="I548" s="283"/>
      <c r="K548" s="283"/>
      <c r="M548" s="283"/>
    </row>
    <row r="549" ht="15.75" customHeight="1">
      <c r="A549" s="283"/>
      <c r="B549" s="283"/>
      <c r="C549" s="283"/>
      <c r="E549" s="283"/>
      <c r="G549" s="283"/>
      <c r="I549" s="283"/>
      <c r="K549" s="283"/>
      <c r="M549" s="283"/>
    </row>
    <row r="550" ht="15.75" customHeight="1">
      <c r="A550" s="283"/>
      <c r="B550" s="283"/>
      <c r="C550" s="283"/>
      <c r="E550" s="283"/>
      <c r="G550" s="283"/>
      <c r="I550" s="283"/>
      <c r="K550" s="283"/>
      <c r="M550" s="283"/>
    </row>
    <row r="551" ht="15.75" customHeight="1">
      <c r="A551" s="283"/>
      <c r="B551" s="283"/>
      <c r="C551" s="283"/>
      <c r="E551" s="283"/>
      <c r="G551" s="283"/>
      <c r="I551" s="283"/>
      <c r="K551" s="283"/>
      <c r="M551" s="283"/>
    </row>
    <row r="552" ht="15.75" customHeight="1">
      <c r="A552" s="283"/>
      <c r="B552" s="283"/>
      <c r="C552" s="283"/>
      <c r="E552" s="283"/>
      <c r="G552" s="283"/>
      <c r="I552" s="283"/>
      <c r="K552" s="283"/>
      <c r="M552" s="283"/>
    </row>
    <row r="553" ht="15.75" customHeight="1">
      <c r="A553" s="283"/>
      <c r="B553" s="283"/>
      <c r="C553" s="283"/>
      <c r="E553" s="283"/>
      <c r="G553" s="283"/>
      <c r="I553" s="283"/>
      <c r="K553" s="283"/>
      <c r="M553" s="283"/>
    </row>
    <row r="554" ht="15.75" customHeight="1">
      <c r="A554" s="283"/>
      <c r="B554" s="283"/>
      <c r="C554" s="283"/>
      <c r="E554" s="283"/>
      <c r="G554" s="283"/>
      <c r="I554" s="283"/>
      <c r="K554" s="283"/>
      <c r="M554" s="283"/>
    </row>
    <row r="555" ht="15.75" customHeight="1">
      <c r="A555" s="283"/>
      <c r="B555" s="283"/>
      <c r="C555" s="283"/>
      <c r="E555" s="283"/>
      <c r="G555" s="283"/>
      <c r="I555" s="283"/>
      <c r="K555" s="283"/>
      <c r="M555" s="283"/>
    </row>
    <row r="556" ht="15.75" customHeight="1">
      <c r="A556" s="283"/>
      <c r="B556" s="283"/>
      <c r="C556" s="283"/>
      <c r="E556" s="283"/>
      <c r="G556" s="283"/>
      <c r="I556" s="283"/>
      <c r="K556" s="283"/>
      <c r="M556" s="283"/>
    </row>
    <row r="557" ht="15.75" customHeight="1">
      <c r="A557" s="283"/>
      <c r="B557" s="283"/>
      <c r="C557" s="283"/>
      <c r="E557" s="283"/>
      <c r="G557" s="283"/>
      <c r="I557" s="283"/>
      <c r="K557" s="283"/>
      <c r="M557" s="283"/>
    </row>
    <row r="558" ht="15.75" customHeight="1">
      <c r="A558" s="283"/>
      <c r="B558" s="283"/>
      <c r="C558" s="283"/>
      <c r="E558" s="283"/>
      <c r="G558" s="283"/>
      <c r="I558" s="283"/>
      <c r="K558" s="283"/>
      <c r="M558" s="283"/>
    </row>
    <row r="559" ht="15.75" customHeight="1">
      <c r="A559" s="283"/>
      <c r="B559" s="283"/>
      <c r="C559" s="283"/>
      <c r="E559" s="283"/>
      <c r="G559" s="283"/>
      <c r="I559" s="283"/>
      <c r="K559" s="283"/>
      <c r="M559" s="283"/>
    </row>
    <row r="560" ht="15.75" customHeight="1">
      <c r="A560" s="283"/>
      <c r="B560" s="283"/>
      <c r="C560" s="283"/>
      <c r="E560" s="283"/>
      <c r="G560" s="283"/>
      <c r="I560" s="283"/>
      <c r="K560" s="283"/>
      <c r="M560" s="283"/>
    </row>
    <row r="561" ht="15.75" customHeight="1">
      <c r="A561" s="283"/>
      <c r="B561" s="283"/>
      <c r="C561" s="283"/>
      <c r="E561" s="283"/>
      <c r="G561" s="283"/>
      <c r="I561" s="283"/>
      <c r="K561" s="283"/>
      <c r="M561" s="283"/>
    </row>
    <row r="562" ht="15.75" customHeight="1">
      <c r="A562" s="283"/>
      <c r="B562" s="283"/>
      <c r="C562" s="283"/>
      <c r="E562" s="283"/>
      <c r="G562" s="283"/>
      <c r="I562" s="283"/>
      <c r="K562" s="283"/>
      <c r="M562" s="283"/>
    </row>
    <row r="563" ht="15.75" customHeight="1">
      <c r="A563" s="283"/>
      <c r="B563" s="283"/>
      <c r="C563" s="283"/>
      <c r="E563" s="283"/>
      <c r="G563" s="283"/>
      <c r="I563" s="283"/>
      <c r="K563" s="283"/>
      <c r="M563" s="283"/>
    </row>
    <row r="564" ht="15.75" customHeight="1">
      <c r="A564" s="283"/>
      <c r="B564" s="283"/>
      <c r="C564" s="283"/>
      <c r="E564" s="283"/>
      <c r="G564" s="283"/>
      <c r="I564" s="283"/>
      <c r="K564" s="283"/>
      <c r="M564" s="283"/>
    </row>
    <row r="565" ht="15.75" customHeight="1">
      <c r="A565" s="283"/>
      <c r="B565" s="283"/>
      <c r="C565" s="283"/>
      <c r="E565" s="283"/>
      <c r="G565" s="283"/>
      <c r="I565" s="283"/>
      <c r="K565" s="283"/>
      <c r="M565" s="283"/>
    </row>
    <row r="566" ht="15.75" customHeight="1">
      <c r="A566" s="283"/>
      <c r="B566" s="283"/>
      <c r="C566" s="283"/>
      <c r="E566" s="283"/>
      <c r="G566" s="283"/>
      <c r="I566" s="283"/>
      <c r="K566" s="283"/>
      <c r="M566" s="283"/>
    </row>
    <row r="567" ht="15.75" customHeight="1">
      <c r="A567" s="283"/>
      <c r="B567" s="283"/>
      <c r="C567" s="283"/>
      <c r="E567" s="283"/>
      <c r="G567" s="283"/>
      <c r="I567" s="283"/>
      <c r="K567" s="283"/>
      <c r="M567" s="283"/>
    </row>
    <row r="568" ht="15.75" customHeight="1">
      <c r="A568" s="283"/>
      <c r="B568" s="283"/>
      <c r="C568" s="283"/>
      <c r="E568" s="283"/>
      <c r="G568" s="283"/>
      <c r="I568" s="283"/>
      <c r="K568" s="283"/>
      <c r="M568" s="283"/>
    </row>
    <row r="569" ht="15.75" customHeight="1">
      <c r="A569" s="283"/>
      <c r="B569" s="283"/>
      <c r="C569" s="283"/>
      <c r="E569" s="283"/>
      <c r="G569" s="283"/>
      <c r="I569" s="283"/>
      <c r="K569" s="283"/>
      <c r="M569" s="283"/>
    </row>
    <row r="570" ht="15.75" customHeight="1">
      <c r="A570" s="283"/>
      <c r="B570" s="283"/>
      <c r="C570" s="283"/>
      <c r="E570" s="283"/>
      <c r="G570" s="283"/>
      <c r="I570" s="283"/>
      <c r="K570" s="283"/>
      <c r="M570" s="283"/>
    </row>
    <row r="571" ht="15.75" customHeight="1">
      <c r="A571" s="283"/>
      <c r="B571" s="283"/>
      <c r="C571" s="283"/>
      <c r="E571" s="283"/>
      <c r="G571" s="283"/>
      <c r="I571" s="283"/>
      <c r="K571" s="283"/>
      <c r="M571" s="283"/>
    </row>
    <row r="572" ht="15.75" customHeight="1">
      <c r="A572" s="283"/>
      <c r="B572" s="283"/>
      <c r="C572" s="283"/>
      <c r="E572" s="283"/>
      <c r="G572" s="283"/>
      <c r="I572" s="283"/>
      <c r="K572" s="283"/>
      <c r="M572" s="283"/>
    </row>
    <row r="573" ht="15.75" customHeight="1">
      <c r="A573" s="283"/>
      <c r="B573" s="283"/>
      <c r="C573" s="283"/>
      <c r="E573" s="283"/>
      <c r="G573" s="283"/>
      <c r="I573" s="283"/>
      <c r="K573" s="283"/>
      <c r="M573" s="283"/>
    </row>
    <row r="574" ht="15.75" customHeight="1">
      <c r="A574" s="283"/>
      <c r="B574" s="283"/>
      <c r="C574" s="283"/>
      <c r="E574" s="283"/>
      <c r="G574" s="283"/>
      <c r="I574" s="283"/>
      <c r="K574" s="283"/>
      <c r="M574" s="283"/>
    </row>
    <row r="575" ht="15.75" customHeight="1">
      <c r="A575" s="283"/>
      <c r="B575" s="283"/>
      <c r="C575" s="283"/>
      <c r="E575" s="283"/>
      <c r="G575" s="283"/>
      <c r="I575" s="283"/>
      <c r="K575" s="283"/>
      <c r="M575" s="283"/>
    </row>
    <row r="576" ht="15.75" customHeight="1">
      <c r="A576" s="283"/>
      <c r="B576" s="283"/>
      <c r="C576" s="283"/>
      <c r="E576" s="283"/>
      <c r="G576" s="283"/>
      <c r="I576" s="283"/>
      <c r="K576" s="283"/>
      <c r="M576" s="283"/>
    </row>
    <row r="577" ht="15.75" customHeight="1">
      <c r="A577" s="283"/>
      <c r="B577" s="283"/>
      <c r="C577" s="283"/>
      <c r="E577" s="283"/>
      <c r="G577" s="283"/>
      <c r="I577" s="283"/>
      <c r="K577" s="283"/>
      <c r="M577" s="283"/>
    </row>
    <row r="578" ht="15.75" customHeight="1">
      <c r="A578" s="283"/>
      <c r="B578" s="283"/>
      <c r="C578" s="283"/>
      <c r="E578" s="283"/>
      <c r="G578" s="283"/>
      <c r="I578" s="283"/>
      <c r="K578" s="283"/>
      <c r="M578" s="283"/>
    </row>
    <row r="579" ht="15.75" customHeight="1">
      <c r="A579" s="283"/>
      <c r="B579" s="283"/>
      <c r="C579" s="283"/>
      <c r="E579" s="283"/>
      <c r="G579" s="283"/>
      <c r="I579" s="283"/>
      <c r="K579" s="283"/>
      <c r="M579" s="283"/>
    </row>
    <row r="580" ht="15.75" customHeight="1">
      <c r="A580" s="283"/>
      <c r="B580" s="283"/>
      <c r="C580" s="283"/>
      <c r="E580" s="283"/>
      <c r="G580" s="283"/>
      <c r="I580" s="283"/>
      <c r="K580" s="283"/>
      <c r="M580" s="283"/>
    </row>
    <row r="581" ht="15.75" customHeight="1">
      <c r="A581" s="283"/>
      <c r="B581" s="283"/>
      <c r="C581" s="283"/>
      <c r="E581" s="283"/>
      <c r="G581" s="283"/>
      <c r="I581" s="283"/>
      <c r="K581" s="283"/>
      <c r="M581" s="283"/>
    </row>
    <row r="582" ht="15.75" customHeight="1">
      <c r="A582" s="283"/>
      <c r="B582" s="283"/>
      <c r="C582" s="283"/>
      <c r="E582" s="283"/>
      <c r="G582" s="283"/>
      <c r="I582" s="283"/>
      <c r="K582" s="283"/>
      <c r="M582" s="283"/>
    </row>
    <row r="583" ht="15.75" customHeight="1">
      <c r="A583" s="283"/>
      <c r="B583" s="283"/>
      <c r="C583" s="283"/>
      <c r="E583" s="283"/>
      <c r="G583" s="283"/>
      <c r="I583" s="283"/>
      <c r="K583" s="283"/>
      <c r="M583" s="283"/>
    </row>
    <row r="584" ht="15.75" customHeight="1">
      <c r="A584" s="283"/>
      <c r="B584" s="283"/>
      <c r="C584" s="283"/>
      <c r="E584" s="283"/>
      <c r="G584" s="283"/>
      <c r="I584" s="283"/>
      <c r="K584" s="283"/>
      <c r="M584" s="283"/>
    </row>
    <row r="585" ht="15.75" customHeight="1">
      <c r="A585" s="283"/>
      <c r="B585" s="283"/>
      <c r="C585" s="283"/>
      <c r="E585" s="283"/>
      <c r="G585" s="283"/>
      <c r="I585" s="283"/>
      <c r="K585" s="283"/>
      <c r="M585" s="283"/>
    </row>
    <row r="586" ht="15.75" customHeight="1">
      <c r="A586" s="283"/>
      <c r="B586" s="283"/>
      <c r="C586" s="283"/>
      <c r="E586" s="283"/>
      <c r="G586" s="283"/>
      <c r="I586" s="283"/>
      <c r="K586" s="283"/>
      <c r="M586" s="283"/>
    </row>
    <row r="587" ht="15.75" customHeight="1">
      <c r="A587" s="283"/>
      <c r="B587" s="283"/>
      <c r="C587" s="283"/>
      <c r="E587" s="283"/>
      <c r="G587" s="283"/>
      <c r="I587" s="283"/>
      <c r="K587" s="283"/>
      <c r="M587" s="283"/>
    </row>
    <row r="588" ht="15.75" customHeight="1">
      <c r="A588" s="283"/>
      <c r="B588" s="283"/>
      <c r="C588" s="283"/>
      <c r="E588" s="283"/>
      <c r="G588" s="283"/>
      <c r="I588" s="283"/>
      <c r="K588" s="283"/>
      <c r="M588" s="283"/>
    </row>
    <row r="589" ht="15.75" customHeight="1">
      <c r="A589" s="283"/>
      <c r="B589" s="283"/>
      <c r="C589" s="283"/>
      <c r="E589" s="283"/>
      <c r="G589" s="283"/>
      <c r="I589" s="283"/>
      <c r="K589" s="283"/>
      <c r="M589" s="283"/>
    </row>
    <row r="590" ht="15.75" customHeight="1">
      <c r="A590" s="283"/>
      <c r="B590" s="283"/>
      <c r="C590" s="283"/>
      <c r="E590" s="283"/>
      <c r="G590" s="283"/>
      <c r="I590" s="283"/>
      <c r="K590" s="283"/>
      <c r="M590" s="283"/>
    </row>
    <row r="591" ht="15.75" customHeight="1">
      <c r="A591" s="283"/>
      <c r="B591" s="283"/>
      <c r="C591" s="283"/>
      <c r="E591" s="283"/>
      <c r="G591" s="283"/>
      <c r="I591" s="283"/>
      <c r="K591" s="283"/>
      <c r="M591" s="283"/>
    </row>
    <row r="592" ht="15.75" customHeight="1">
      <c r="A592" s="283"/>
      <c r="B592" s="283"/>
      <c r="C592" s="283"/>
      <c r="E592" s="283"/>
      <c r="G592" s="283"/>
      <c r="I592" s="283"/>
      <c r="K592" s="283"/>
      <c r="M592" s="283"/>
    </row>
    <row r="593" ht="15.75" customHeight="1">
      <c r="A593" s="283"/>
      <c r="B593" s="283"/>
      <c r="C593" s="283"/>
      <c r="E593" s="283"/>
      <c r="G593" s="283"/>
      <c r="I593" s="283"/>
      <c r="K593" s="283"/>
      <c r="M593" s="283"/>
    </row>
    <row r="594" ht="15.75" customHeight="1">
      <c r="A594" s="283"/>
      <c r="B594" s="283"/>
      <c r="C594" s="283"/>
      <c r="E594" s="283"/>
      <c r="G594" s="283"/>
      <c r="I594" s="283"/>
      <c r="K594" s="283"/>
      <c r="M594" s="283"/>
    </row>
    <row r="595" ht="15.75" customHeight="1">
      <c r="A595" s="283"/>
      <c r="B595" s="283"/>
      <c r="C595" s="283"/>
      <c r="E595" s="283"/>
      <c r="G595" s="283"/>
      <c r="I595" s="283"/>
      <c r="K595" s="283"/>
      <c r="M595" s="283"/>
    </row>
    <row r="596" ht="15.75" customHeight="1">
      <c r="A596" s="283"/>
      <c r="B596" s="283"/>
      <c r="C596" s="283"/>
      <c r="E596" s="283"/>
      <c r="G596" s="283"/>
      <c r="I596" s="283"/>
      <c r="K596" s="283"/>
      <c r="M596" s="283"/>
    </row>
    <row r="597" ht="15.75" customHeight="1">
      <c r="A597" s="283"/>
      <c r="B597" s="283"/>
      <c r="C597" s="283"/>
      <c r="E597" s="283"/>
      <c r="G597" s="283"/>
      <c r="I597" s="283"/>
      <c r="K597" s="283"/>
      <c r="M597" s="283"/>
    </row>
    <row r="598" ht="15.75" customHeight="1">
      <c r="A598" s="283"/>
      <c r="B598" s="283"/>
      <c r="C598" s="283"/>
      <c r="E598" s="283"/>
      <c r="G598" s="283"/>
      <c r="I598" s="283"/>
      <c r="K598" s="283"/>
      <c r="M598" s="283"/>
    </row>
    <row r="599" ht="15.75" customHeight="1">
      <c r="A599" s="283"/>
      <c r="B599" s="283"/>
      <c r="C599" s="283"/>
      <c r="E599" s="283"/>
      <c r="G599" s="283"/>
      <c r="I599" s="283"/>
      <c r="K599" s="283"/>
      <c r="M599" s="283"/>
    </row>
    <row r="600" ht="15.75" customHeight="1">
      <c r="A600" s="283"/>
      <c r="B600" s="283"/>
      <c r="C600" s="283"/>
      <c r="E600" s="283"/>
      <c r="G600" s="283"/>
      <c r="I600" s="283"/>
      <c r="K600" s="283"/>
      <c r="M600" s="283"/>
    </row>
    <row r="601" ht="15.75" customHeight="1">
      <c r="A601" s="283"/>
      <c r="B601" s="283"/>
      <c r="C601" s="283"/>
      <c r="E601" s="283"/>
      <c r="G601" s="283"/>
      <c r="I601" s="283"/>
      <c r="K601" s="283"/>
      <c r="M601" s="283"/>
    </row>
    <row r="602" ht="15.75" customHeight="1">
      <c r="A602" s="283"/>
      <c r="B602" s="283"/>
      <c r="C602" s="283"/>
      <c r="E602" s="283"/>
      <c r="G602" s="283"/>
      <c r="I602" s="283"/>
      <c r="K602" s="283"/>
      <c r="M602" s="283"/>
    </row>
    <row r="603" ht="15.75" customHeight="1">
      <c r="A603" s="283"/>
      <c r="B603" s="283"/>
      <c r="C603" s="283"/>
      <c r="E603" s="283"/>
      <c r="G603" s="283"/>
      <c r="I603" s="283"/>
      <c r="K603" s="283"/>
      <c r="M603" s="283"/>
    </row>
    <row r="604" ht="15.75" customHeight="1">
      <c r="A604" s="283"/>
      <c r="B604" s="283"/>
      <c r="C604" s="283"/>
      <c r="E604" s="283"/>
      <c r="G604" s="283"/>
      <c r="I604" s="283"/>
      <c r="K604" s="283"/>
      <c r="M604" s="283"/>
    </row>
    <row r="605" ht="15.75" customHeight="1">
      <c r="A605" s="283"/>
      <c r="B605" s="283"/>
      <c r="C605" s="283"/>
      <c r="E605" s="283"/>
      <c r="G605" s="283"/>
      <c r="I605" s="283"/>
      <c r="K605" s="283"/>
      <c r="M605" s="283"/>
    </row>
    <row r="606" ht="15.75" customHeight="1">
      <c r="A606" s="283"/>
      <c r="B606" s="283"/>
      <c r="C606" s="283"/>
      <c r="E606" s="283"/>
      <c r="G606" s="283"/>
      <c r="I606" s="283"/>
      <c r="K606" s="283"/>
      <c r="M606" s="283"/>
    </row>
    <row r="607" ht="15.75" customHeight="1">
      <c r="A607" s="283"/>
      <c r="B607" s="283"/>
      <c r="C607" s="283"/>
      <c r="E607" s="283"/>
      <c r="G607" s="283"/>
      <c r="I607" s="283"/>
      <c r="K607" s="283"/>
      <c r="M607" s="283"/>
    </row>
    <row r="608" ht="15.75" customHeight="1">
      <c r="A608" s="283"/>
      <c r="B608" s="283"/>
      <c r="C608" s="283"/>
      <c r="E608" s="283"/>
      <c r="G608" s="283"/>
      <c r="I608" s="283"/>
      <c r="K608" s="283"/>
      <c r="M608" s="283"/>
    </row>
    <row r="609" ht="15.75" customHeight="1">
      <c r="A609" s="283"/>
      <c r="B609" s="283"/>
      <c r="C609" s="283"/>
      <c r="E609" s="283"/>
      <c r="G609" s="283"/>
      <c r="I609" s="283"/>
      <c r="K609" s="283"/>
      <c r="M609" s="283"/>
    </row>
    <row r="610" ht="15.75" customHeight="1">
      <c r="A610" s="283"/>
      <c r="B610" s="283"/>
      <c r="C610" s="283"/>
      <c r="E610" s="283"/>
      <c r="G610" s="283"/>
      <c r="I610" s="283"/>
      <c r="K610" s="283"/>
      <c r="M610" s="283"/>
    </row>
    <row r="611" ht="15.75" customHeight="1">
      <c r="A611" s="283"/>
      <c r="B611" s="283"/>
      <c r="C611" s="283"/>
      <c r="E611" s="283"/>
      <c r="G611" s="283"/>
      <c r="I611" s="283"/>
      <c r="K611" s="283"/>
      <c r="M611" s="283"/>
    </row>
    <row r="612" ht="15.75" customHeight="1">
      <c r="A612" s="283"/>
      <c r="B612" s="283"/>
      <c r="C612" s="283"/>
      <c r="E612" s="283"/>
      <c r="G612" s="283"/>
      <c r="I612" s="283"/>
      <c r="K612" s="283"/>
      <c r="M612" s="283"/>
    </row>
    <row r="613" ht="15.75" customHeight="1">
      <c r="A613" s="283"/>
      <c r="B613" s="283"/>
      <c r="C613" s="283"/>
      <c r="E613" s="283"/>
      <c r="G613" s="283"/>
      <c r="I613" s="283"/>
      <c r="K613" s="283"/>
      <c r="M613" s="283"/>
    </row>
    <row r="614" ht="15.75" customHeight="1">
      <c r="A614" s="283"/>
      <c r="B614" s="283"/>
      <c r="C614" s="283"/>
      <c r="E614" s="283"/>
      <c r="G614" s="283"/>
      <c r="I614" s="283"/>
      <c r="K614" s="283"/>
      <c r="M614" s="283"/>
    </row>
    <row r="615" ht="15.75" customHeight="1">
      <c r="A615" s="283"/>
      <c r="B615" s="283"/>
      <c r="C615" s="283"/>
      <c r="E615" s="283"/>
      <c r="G615" s="283"/>
      <c r="I615" s="283"/>
      <c r="K615" s="283"/>
      <c r="M615" s="283"/>
    </row>
    <row r="616" ht="15.75" customHeight="1">
      <c r="A616" s="283"/>
      <c r="B616" s="283"/>
      <c r="C616" s="283"/>
      <c r="E616" s="283"/>
      <c r="G616" s="283"/>
      <c r="I616" s="283"/>
      <c r="K616" s="283"/>
      <c r="M616" s="283"/>
    </row>
    <row r="617" ht="15.75" customHeight="1">
      <c r="A617" s="283"/>
      <c r="B617" s="283"/>
      <c r="C617" s="283"/>
      <c r="E617" s="283"/>
      <c r="G617" s="283"/>
      <c r="I617" s="283"/>
      <c r="K617" s="283"/>
      <c r="M617" s="283"/>
    </row>
    <row r="618" ht="15.75" customHeight="1">
      <c r="A618" s="283"/>
      <c r="B618" s="283"/>
      <c r="C618" s="283"/>
      <c r="E618" s="283"/>
      <c r="G618" s="283"/>
      <c r="I618" s="283"/>
      <c r="K618" s="283"/>
      <c r="M618" s="283"/>
    </row>
    <row r="619" ht="15.75" customHeight="1">
      <c r="A619" s="283"/>
      <c r="B619" s="283"/>
      <c r="C619" s="283"/>
      <c r="E619" s="283"/>
      <c r="G619" s="283"/>
      <c r="I619" s="283"/>
      <c r="K619" s="283"/>
      <c r="M619" s="283"/>
    </row>
    <row r="620" ht="15.75" customHeight="1">
      <c r="A620" s="283"/>
      <c r="B620" s="283"/>
      <c r="C620" s="283"/>
      <c r="E620" s="283"/>
      <c r="G620" s="283"/>
      <c r="I620" s="283"/>
      <c r="K620" s="283"/>
      <c r="M620" s="283"/>
    </row>
    <row r="621" ht="15.75" customHeight="1">
      <c r="A621" s="283"/>
      <c r="B621" s="283"/>
      <c r="C621" s="283"/>
      <c r="E621" s="283"/>
      <c r="G621" s="283"/>
      <c r="I621" s="283"/>
      <c r="K621" s="283"/>
      <c r="M621" s="283"/>
    </row>
    <row r="622" ht="15.75" customHeight="1">
      <c r="A622" s="283"/>
      <c r="B622" s="283"/>
      <c r="C622" s="283"/>
      <c r="E622" s="283"/>
      <c r="G622" s="283"/>
      <c r="I622" s="283"/>
      <c r="K622" s="283"/>
      <c r="M622" s="283"/>
    </row>
    <row r="623" ht="15.75" customHeight="1">
      <c r="A623" s="283"/>
      <c r="B623" s="283"/>
      <c r="C623" s="283"/>
      <c r="E623" s="283"/>
      <c r="G623" s="283"/>
      <c r="I623" s="283"/>
      <c r="K623" s="283"/>
      <c r="M623" s="283"/>
    </row>
    <row r="624" ht="15.75" customHeight="1">
      <c r="A624" s="283"/>
      <c r="B624" s="283"/>
      <c r="C624" s="283"/>
      <c r="E624" s="283"/>
      <c r="G624" s="283"/>
      <c r="I624" s="283"/>
      <c r="K624" s="283"/>
      <c r="M624" s="283"/>
    </row>
    <row r="625" ht="15.75" customHeight="1">
      <c r="A625" s="283"/>
      <c r="B625" s="283"/>
      <c r="C625" s="283"/>
      <c r="E625" s="283"/>
      <c r="G625" s="283"/>
      <c r="I625" s="283"/>
      <c r="K625" s="283"/>
      <c r="M625" s="283"/>
    </row>
    <row r="626" ht="15.75" customHeight="1">
      <c r="A626" s="283"/>
      <c r="B626" s="283"/>
      <c r="C626" s="283"/>
      <c r="E626" s="283"/>
      <c r="G626" s="283"/>
      <c r="I626" s="283"/>
      <c r="K626" s="283"/>
      <c r="M626" s="283"/>
    </row>
    <row r="627" ht="15.75" customHeight="1">
      <c r="A627" s="283"/>
      <c r="B627" s="283"/>
      <c r="C627" s="283"/>
      <c r="E627" s="283"/>
      <c r="G627" s="283"/>
      <c r="I627" s="283"/>
      <c r="K627" s="283"/>
      <c r="M627" s="283"/>
    </row>
    <row r="628" ht="15.75" customHeight="1">
      <c r="A628" s="283"/>
      <c r="B628" s="283"/>
      <c r="C628" s="283"/>
      <c r="E628" s="283"/>
      <c r="G628" s="283"/>
      <c r="I628" s="283"/>
      <c r="K628" s="283"/>
      <c r="M628" s="283"/>
    </row>
    <row r="629" ht="15.75" customHeight="1">
      <c r="A629" s="283"/>
      <c r="B629" s="283"/>
      <c r="C629" s="283"/>
      <c r="E629" s="283"/>
      <c r="G629" s="283"/>
      <c r="I629" s="283"/>
      <c r="K629" s="283"/>
      <c r="M629" s="283"/>
    </row>
    <row r="630" ht="15.75" customHeight="1">
      <c r="A630" s="283"/>
      <c r="B630" s="283"/>
      <c r="C630" s="283"/>
      <c r="E630" s="283"/>
      <c r="G630" s="283"/>
      <c r="I630" s="283"/>
      <c r="K630" s="283"/>
      <c r="M630" s="283"/>
    </row>
    <row r="631" ht="15.75" customHeight="1">
      <c r="A631" s="283"/>
      <c r="B631" s="283"/>
      <c r="C631" s="283"/>
      <c r="E631" s="283"/>
      <c r="G631" s="283"/>
      <c r="I631" s="283"/>
      <c r="K631" s="283"/>
      <c r="M631" s="283"/>
    </row>
    <row r="632" ht="15.75" customHeight="1">
      <c r="A632" s="283"/>
      <c r="B632" s="283"/>
      <c r="C632" s="283"/>
      <c r="E632" s="283"/>
      <c r="G632" s="283"/>
      <c r="I632" s="283"/>
      <c r="K632" s="283"/>
      <c r="M632" s="283"/>
    </row>
    <row r="633" ht="15.75" customHeight="1">
      <c r="A633" s="283"/>
      <c r="B633" s="283"/>
      <c r="C633" s="283"/>
      <c r="E633" s="283"/>
      <c r="G633" s="283"/>
      <c r="I633" s="283"/>
      <c r="K633" s="283"/>
      <c r="M633" s="283"/>
    </row>
    <row r="634" ht="15.75" customHeight="1">
      <c r="A634" s="283"/>
      <c r="B634" s="283"/>
      <c r="C634" s="283"/>
      <c r="E634" s="283"/>
      <c r="G634" s="283"/>
      <c r="I634" s="283"/>
      <c r="K634" s="283"/>
      <c r="M634" s="283"/>
    </row>
    <row r="635" ht="15.75" customHeight="1">
      <c r="A635" s="283"/>
      <c r="B635" s="283"/>
      <c r="C635" s="283"/>
      <c r="E635" s="283"/>
      <c r="G635" s="283"/>
      <c r="I635" s="283"/>
      <c r="K635" s="283"/>
      <c r="M635" s="283"/>
    </row>
    <row r="636" ht="15.75" customHeight="1">
      <c r="A636" s="283"/>
      <c r="B636" s="283"/>
      <c r="C636" s="283"/>
      <c r="E636" s="283"/>
      <c r="G636" s="283"/>
      <c r="I636" s="283"/>
      <c r="K636" s="283"/>
      <c r="M636" s="283"/>
    </row>
    <row r="637" ht="15.75" customHeight="1">
      <c r="A637" s="283"/>
      <c r="B637" s="283"/>
      <c r="C637" s="283"/>
      <c r="E637" s="283"/>
      <c r="G637" s="283"/>
      <c r="I637" s="283"/>
      <c r="K637" s="283"/>
      <c r="M637" s="283"/>
    </row>
    <row r="638" ht="15.75" customHeight="1">
      <c r="A638" s="283"/>
      <c r="B638" s="283"/>
      <c r="C638" s="283"/>
      <c r="E638" s="283"/>
      <c r="G638" s="283"/>
      <c r="I638" s="283"/>
      <c r="K638" s="283"/>
      <c r="M638" s="283"/>
    </row>
    <row r="639" ht="15.75" customHeight="1">
      <c r="A639" s="283"/>
      <c r="B639" s="283"/>
      <c r="C639" s="283"/>
      <c r="E639" s="283"/>
      <c r="G639" s="283"/>
      <c r="I639" s="283"/>
      <c r="K639" s="283"/>
      <c r="M639" s="283"/>
    </row>
    <row r="640" ht="15.75" customHeight="1">
      <c r="A640" s="283"/>
      <c r="B640" s="283"/>
      <c r="C640" s="283"/>
      <c r="E640" s="283"/>
      <c r="G640" s="283"/>
      <c r="I640" s="283"/>
      <c r="K640" s="283"/>
      <c r="M640" s="283"/>
    </row>
    <row r="641" ht="15.75" customHeight="1">
      <c r="A641" s="283"/>
      <c r="B641" s="283"/>
      <c r="C641" s="283"/>
      <c r="E641" s="283"/>
      <c r="G641" s="283"/>
      <c r="I641" s="283"/>
      <c r="K641" s="283"/>
      <c r="M641" s="283"/>
    </row>
    <row r="642" ht="15.75" customHeight="1">
      <c r="A642" s="283"/>
      <c r="B642" s="283"/>
      <c r="C642" s="283"/>
      <c r="E642" s="283"/>
      <c r="G642" s="283"/>
      <c r="I642" s="283"/>
      <c r="K642" s="283"/>
      <c r="M642" s="283"/>
    </row>
    <row r="643" ht="15.75" customHeight="1">
      <c r="A643" s="283"/>
      <c r="B643" s="283"/>
      <c r="C643" s="283"/>
      <c r="E643" s="283"/>
      <c r="G643" s="283"/>
      <c r="I643" s="283"/>
      <c r="K643" s="283"/>
      <c r="M643" s="283"/>
    </row>
    <row r="644" ht="15.75" customHeight="1">
      <c r="A644" s="283"/>
      <c r="B644" s="283"/>
      <c r="C644" s="283"/>
      <c r="E644" s="283"/>
      <c r="G644" s="283"/>
      <c r="I644" s="283"/>
      <c r="K644" s="283"/>
      <c r="M644" s="283"/>
    </row>
    <row r="645" ht="15.75" customHeight="1">
      <c r="A645" s="283"/>
      <c r="B645" s="283"/>
      <c r="C645" s="283"/>
      <c r="E645" s="283"/>
      <c r="G645" s="283"/>
      <c r="I645" s="283"/>
      <c r="K645" s="283"/>
      <c r="M645" s="283"/>
    </row>
    <row r="646" ht="15.75" customHeight="1">
      <c r="A646" s="283"/>
      <c r="B646" s="283"/>
      <c r="C646" s="283"/>
      <c r="E646" s="283"/>
      <c r="G646" s="283"/>
      <c r="I646" s="283"/>
      <c r="K646" s="283"/>
      <c r="M646" s="283"/>
    </row>
    <row r="647" ht="15.75" customHeight="1">
      <c r="A647" s="283"/>
      <c r="B647" s="283"/>
      <c r="C647" s="283"/>
      <c r="E647" s="283"/>
      <c r="G647" s="283"/>
      <c r="I647" s="283"/>
      <c r="K647" s="283"/>
      <c r="M647" s="283"/>
    </row>
    <row r="648" ht="15.75" customHeight="1">
      <c r="A648" s="283"/>
      <c r="B648" s="283"/>
      <c r="C648" s="283"/>
      <c r="E648" s="283"/>
      <c r="G648" s="283"/>
      <c r="I648" s="283"/>
      <c r="K648" s="283"/>
      <c r="M648" s="283"/>
    </row>
    <row r="649" ht="15.75" customHeight="1">
      <c r="A649" s="283"/>
      <c r="B649" s="283"/>
      <c r="C649" s="283"/>
      <c r="E649" s="283"/>
      <c r="G649" s="283"/>
      <c r="I649" s="283"/>
      <c r="K649" s="283"/>
      <c r="M649" s="283"/>
    </row>
    <row r="650" ht="15.75" customHeight="1">
      <c r="A650" s="283"/>
      <c r="B650" s="283"/>
      <c r="C650" s="283"/>
      <c r="E650" s="283"/>
      <c r="G650" s="283"/>
      <c r="I650" s="283"/>
      <c r="K650" s="283"/>
      <c r="M650" s="283"/>
    </row>
    <row r="651" ht="15.75" customHeight="1">
      <c r="A651" s="283"/>
      <c r="B651" s="283"/>
      <c r="C651" s="283"/>
      <c r="E651" s="283"/>
      <c r="G651" s="283"/>
      <c r="I651" s="283"/>
      <c r="K651" s="283"/>
      <c r="M651" s="283"/>
    </row>
    <row r="652" ht="15.75" customHeight="1">
      <c r="A652" s="283"/>
      <c r="B652" s="283"/>
      <c r="C652" s="283"/>
      <c r="E652" s="283"/>
      <c r="G652" s="283"/>
      <c r="I652" s="283"/>
      <c r="K652" s="283"/>
      <c r="M652" s="283"/>
    </row>
    <row r="653" ht="15.75" customHeight="1">
      <c r="A653" s="283"/>
      <c r="B653" s="283"/>
      <c r="C653" s="283"/>
      <c r="E653" s="283"/>
      <c r="G653" s="283"/>
      <c r="I653" s="283"/>
      <c r="K653" s="283"/>
      <c r="M653" s="283"/>
    </row>
    <row r="654" ht="15.75" customHeight="1">
      <c r="A654" s="283"/>
      <c r="B654" s="283"/>
      <c r="C654" s="283"/>
      <c r="E654" s="283"/>
      <c r="G654" s="283"/>
      <c r="I654" s="283"/>
      <c r="K654" s="283"/>
      <c r="M654" s="283"/>
    </row>
    <row r="655" ht="15.75" customHeight="1">
      <c r="A655" s="283"/>
      <c r="B655" s="283"/>
      <c r="C655" s="283"/>
      <c r="E655" s="283"/>
      <c r="G655" s="283"/>
      <c r="I655" s="283"/>
      <c r="K655" s="283"/>
      <c r="M655" s="283"/>
    </row>
    <row r="656" ht="15.75" customHeight="1">
      <c r="A656" s="283"/>
      <c r="B656" s="283"/>
      <c r="C656" s="283"/>
      <c r="E656" s="283"/>
      <c r="G656" s="283"/>
      <c r="I656" s="283"/>
      <c r="K656" s="283"/>
      <c r="M656" s="283"/>
    </row>
    <row r="657" ht="15.75" customHeight="1">
      <c r="A657" s="283"/>
      <c r="B657" s="283"/>
      <c r="C657" s="283"/>
      <c r="E657" s="283"/>
      <c r="G657" s="283"/>
      <c r="I657" s="283"/>
      <c r="K657" s="283"/>
      <c r="M657" s="283"/>
    </row>
    <row r="658" ht="15.75" customHeight="1">
      <c r="A658" s="283"/>
      <c r="B658" s="283"/>
      <c r="C658" s="283"/>
      <c r="E658" s="283"/>
      <c r="G658" s="283"/>
      <c r="I658" s="283"/>
      <c r="K658" s="283"/>
      <c r="M658" s="283"/>
    </row>
    <row r="659" ht="15.75" customHeight="1">
      <c r="A659" s="283"/>
      <c r="B659" s="283"/>
      <c r="C659" s="283"/>
      <c r="E659" s="283"/>
      <c r="G659" s="283"/>
      <c r="I659" s="283"/>
      <c r="K659" s="283"/>
      <c r="M659" s="283"/>
    </row>
    <row r="660" ht="15.75" customHeight="1">
      <c r="A660" s="283"/>
      <c r="B660" s="283"/>
      <c r="C660" s="283"/>
      <c r="E660" s="283"/>
      <c r="G660" s="283"/>
      <c r="I660" s="283"/>
      <c r="K660" s="283"/>
      <c r="M660" s="283"/>
    </row>
    <row r="661" ht="15.75" customHeight="1">
      <c r="A661" s="283"/>
      <c r="B661" s="283"/>
      <c r="C661" s="283"/>
      <c r="E661" s="283"/>
      <c r="G661" s="283"/>
      <c r="I661" s="283"/>
      <c r="K661" s="283"/>
      <c r="M661" s="283"/>
    </row>
    <row r="662" ht="15.75" customHeight="1">
      <c r="A662" s="283"/>
      <c r="B662" s="283"/>
      <c r="C662" s="283"/>
      <c r="E662" s="283"/>
      <c r="G662" s="283"/>
      <c r="I662" s="283"/>
      <c r="K662" s="283"/>
      <c r="M662" s="283"/>
    </row>
    <row r="663" ht="15.75" customHeight="1">
      <c r="A663" s="283"/>
      <c r="B663" s="283"/>
      <c r="C663" s="283"/>
      <c r="E663" s="283"/>
      <c r="G663" s="283"/>
      <c r="I663" s="283"/>
      <c r="K663" s="283"/>
      <c r="M663" s="283"/>
    </row>
    <row r="664" ht="15.75" customHeight="1">
      <c r="A664" s="283"/>
      <c r="B664" s="283"/>
      <c r="C664" s="283"/>
      <c r="E664" s="283"/>
      <c r="G664" s="283"/>
      <c r="I664" s="283"/>
      <c r="K664" s="283"/>
      <c r="M664" s="283"/>
    </row>
    <row r="665" ht="15.75" customHeight="1">
      <c r="A665" s="283"/>
      <c r="B665" s="283"/>
      <c r="C665" s="283"/>
      <c r="E665" s="283"/>
      <c r="G665" s="283"/>
      <c r="I665" s="283"/>
      <c r="K665" s="283"/>
      <c r="M665" s="283"/>
    </row>
    <row r="666" ht="15.75" customHeight="1">
      <c r="A666" s="283"/>
      <c r="B666" s="283"/>
      <c r="C666" s="283"/>
      <c r="E666" s="283"/>
      <c r="G666" s="283"/>
      <c r="I666" s="283"/>
      <c r="K666" s="283"/>
      <c r="M666" s="283"/>
    </row>
    <row r="667" ht="15.75" customHeight="1">
      <c r="A667" s="283"/>
      <c r="B667" s="283"/>
      <c r="C667" s="283"/>
      <c r="E667" s="283"/>
      <c r="G667" s="283"/>
      <c r="I667" s="283"/>
      <c r="K667" s="283"/>
      <c r="M667" s="283"/>
    </row>
    <row r="668" ht="15.75" customHeight="1">
      <c r="A668" s="283"/>
      <c r="B668" s="283"/>
      <c r="C668" s="283"/>
      <c r="E668" s="283"/>
      <c r="G668" s="283"/>
      <c r="I668" s="283"/>
      <c r="K668" s="283"/>
      <c r="M668" s="283"/>
    </row>
    <row r="669" ht="15.75" customHeight="1">
      <c r="A669" s="283"/>
      <c r="B669" s="283"/>
      <c r="C669" s="283"/>
      <c r="E669" s="283"/>
      <c r="G669" s="283"/>
      <c r="I669" s="283"/>
      <c r="K669" s="283"/>
      <c r="M669" s="283"/>
    </row>
    <row r="670" ht="15.75" customHeight="1">
      <c r="A670" s="283"/>
      <c r="B670" s="283"/>
      <c r="C670" s="283"/>
      <c r="E670" s="283"/>
      <c r="G670" s="283"/>
      <c r="I670" s="283"/>
      <c r="K670" s="283"/>
      <c r="M670" s="283"/>
    </row>
    <row r="671" ht="15.75" customHeight="1">
      <c r="A671" s="283"/>
      <c r="B671" s="283"/>
      <c r="C671" s="283"/>
      <c r="E671" s="283"/>
      <c r="G671" s="283"/>
      <c r="I671" s="283"/>
      <c r="K671" s="283"/>
      <c r="M671" s="283"/>
    </row>
    <row r="672" ht="15.75" customHeight="1">
      <c r="A672" s="283"/>
      <c r="B672" s="283"/>
      <c r="C672" s="283"/>
      <c r="E672" s="283"/>
      <c r="G672" s="283"/>
      <c r="I672" s="283"/>
      <c r="K672" s="283"/>
      <c r="M672" s="283"/>
    </row>
    <row r="673" ht="15.75" customHeight="1">
      <c r="A673" s="283"/>
      <c r="B673" s="283"/>
      <c r="C673" s="283"/>
      <c r="E673" s="283"/>
      <c r="G673" s="283"/>
      <c r="I673" s="283"/>
      <c r="K673" s="283"/>
      <c r="M673" s="283"/>
    </row>
    <row r="674" ht="15.75" customHeight="1">
      <c r="A674" s="283"/>
      <c r="B674" s="283"/>
      <c r="C674" s="283"/>
      <c r="E674" s="283"/>
      <c r="G674" s="283"/>
      <c r="I674" s="283"/>
      <c r="K674" s="283"/>
      <c r="M674" s="283"/>
    </row>
    <row r="675" ht="15.75" customHeight="1">
      <c r="A675" s="283"/>
      <c r="B675" s="283"/>
      <c r="C675" s="283"/>
      <c r="E675" s="283"/>
      <c r="G675" s="283"/>
      <c r="I675" s="283"/>
      <c r="K675" s="283"/>
      <c r="M675" s="283"/>
    </row>
    <row r="676" ht="15.75" customHeight="1">
      <c r="A676" s="283"/>
      <c r="B676" s="283"/>
      <c r="C676" s="283"/>
      <c r="E676" s="283"/>
      <c r="G676" s="283"/>
      <c r="I676" s="283"/>
      <c r="K676" s="283"/>
      <c r="M676" s="283"/>
    </row>
    <row r="677" ht="15.75" customHeight="1">
      <c r="A677" s="283"/>
      <c r="B677" s="283"/>
      <c r="C677" s="283"/>
      <c r="E677" s="283"/>
      <c r="G677" s="283"/>
      <c r="I677" s="283"/>
      <c r="K677" s="283"/>
      <c r="M677" s="283"/>
    </row>
    <row r="678" ht="15.75" customHeight="1">
      <c r="A678" s="283"/>
      <c r="B678" s="283"/>
      <c r="C678" s="283"/>
      <c r="E678" s="283"/>
      <c r="G678" s="283"/>
      <c r="I678" s="283"/>
      <c r="K678" s="283"/>
      <c r="M678" s="283"/>
    </row>
    <row r="679" ht="15.75" customHeight="1">
      <c r="A679" s="283"/>
      <c r="B679" s="283"/>
      <c r="C679" s="283"/>
      <c r="E679" s="283"/>
      <c r="G679" s="283"/>
      <c r="I679" s="283"/>
      <c r="K679" s="283"/>
      <c r="M679" s="283"/>
    </row>
    <row r="680" ht="15.75" customHeight="1">
      <c r="A680" s="283"/>
      <c r="B680" s="283"/>
      <c r="C680" s="283"/>
      <c r="E680" s="283"/>
      <c r="G680" s="283"/>
      <c r="I680" s="283"/>
      <c r="K680" s="283"/>
      <c r="M680" s="283"/>
    </row>
    <row r="681" ht="15.75" customHeight="1">
      <c r="A681" s="283"/>
      <c r="B681" s="283"/>
      <c r="C681" s="283"/>
      <c r="E681" s="283"/>
      <c r="G681" s="283"/>
      <c r="I681" s="283"/>
      <c r="K681" s="283"/>
      <c r="M681" s="283"/>
    </row>
    <row r="682" ht="15.75" customHeight="1">
      <c r="A682" s="283"/>
      <c r="B682" s="283"/>
      <c r="C682" s="283"/>
      <c r="E682" s="283"/>
      <c r="G682" s="283"/>
      <c r="I682" s="283"/>
      <c r="K682" s="283"/>
      <c r="M682" s="283"/>
    </row>
    <row r="683" ht="15.75" customHeight="1">
      <c r="A683" s="283"/>
      <c r="B683" s="283"/>
      <c r="C683" s="283"/>
      <c r="E683" s="283"/>
      <c r="G683" s="283"/>
      <c r="I683" s="283"/>
      <c r="K683" s="283"/>
      <c r="M683" s="283"/>
    </row>
    <row r="684" ht="15.75" customHeight="1">
      <c r="A684" s="283"/>
      <c r="B684" s="283"/>
      <c r="C684" s="283"/>
      <c r="E684" s="283"/>
      <c r="G684" s="283"/>
      <c r="I684" s="283"/>
      <c r="K684" s="283"/>
      <c r="M684" s="283"/>
    </row>
    <row r="685" ht="15.75" customHeight="1">
      <c r="A685" s="283"/>
      <c r="B685" s="283"/>
      <c r="C685" s="283"/>
      <c r="E685" s="283"/>
      <c r="G685" s="283"/>
      <c r="I685" s="283"/>
      <c r="K685" s="283"/>
      <c r="M685" s="283"/>
    </row>
    <row r="686" ht="15.75" customHeight="1">
      <c r="A686" s="283"/>
      <c r="B686" s="283"/>
      <c r="C686" s="283"/>
      <c r="E686" s="283"/>
      <c r="G686" s="283"/>
      <c r="I686" s="283"/>
      <c r="K686" s="283"/>
      <c r="M686" s="283"/>
    </row>
    <row r="687" ht="15.75" customHeight="1">
      <c r="A687" s="283"/>
      <c r="B687" s="283"/>
      <c r="C687" s="283"/>
      <c r="E687" s="283"/>
      <c r="G687" s="283"/>
      <c r="I687" s="283"/>
      <c r="K687" s="283"/>
      <c r="M687" s="283"/>
    </row>
    <row r="688" ht="15.75" customHeight="1">
      <c r="A688" s="283"/>
      <c r="B688" s="283"/>
      <c r="C688" s="283"/>
      <c r="E688" s="283"/>
      <c r="G688" s="283"/>
      <c r="I688" s="283"/>
      <c r="K688" s="283"/>
      <c r="M688" s="283"/>
    </row>
    <row r="689" ht="15.75" customHeight="1">
      <c r="A689" s="283"/>
      <c r="B689" s="283"/>
      <c r="C689" s="283"/>
      <c r="E689" s="283"/>
      <c r="G689" s="283"/>
      <c r="I689" s="283"/>
      <c r="K689" s="283"/>
      <c r="M689" s="283"/>
    </row>
    <row r="690" ht="15.75" customHeight="1">
      <c r="A690" s="283"/>
      <c r="B690" s="283"/>
      <c r="C690" s="283"/>
      <c r="E690" s="283"/>
      <c r="G690" s="283"/>
      <c r="I690" s="283"/>
      <c r="K690" s="283"/>
      <c r="M690" s="283"/>
    </row>
    <row r="691" ht="15.75" customHeight="1">
      <c r="A691" s="283"/>
      <c r="B691" s="283"/>
      <c r="C691" s="283"/>
      <c r="E691" s="283"/>
      <c r="G691" s="283"/>
      <c r="I691" s="283"/>
      <c r="K691" s="283"/>
      <c r="M691" s="283"/>
    </row>
    <row r="692" ht="15.75" customHeight="1">
      <c r="A692" s="283"/>
      <c r="B692" s="283"/>
      <c r="C692" s="283"/>
      <c r="E692" s="283"/>
      <c r="G692" s="283"/>
      <c r="I692" s="283"/>
      <c r="K692" s="283"/>
      <c r="M692" s="283"/>
    </row>
    <row r="693" ht="15.75" customHeight="1">
      <c r="A693" s="283"/>
      <c r="B693" s="283"/>
      <c r="C693" s="283"/>
      <c r="E693" s="283"/>
      <c r="G693" s="283"/>
      <c r="I693" s="283"/>
      <c r="K693" s="283"/>
      <c r="M693" s="283"/>
    </row>
    <row r="694" ht="15.75" customHeight="1">
      <c r="A694" s="283"/>
      <c r="B694" s="283"/>
      <c r="C694" s="283"/>
      <c r="E694" s="283"/>
      <c r="G694" s="283"/>
      <c r="I694" s="283"/>
      <c r="K694" s="283"/>
      <c r="M694" s="283"/>
    </row>
    <row r="695" ht="15.75" customHeight="1">
      <c r="A695" s="283"/>
      <c r="B695" s="283"/>
      <c r="C695" s="283"/>
      <c r="E695" s="283"/>
      <c r="G695" s="283"/>
      <c r="I695" s="283"/>
      <c r="K695" s="283"/>
      <c r="M695" s="283"/>
    </row>
    <row r="696" ht="15.75" customHeight="1">
      <c r="A696" s="283"/>
      <c r="B696" s="283"/>
      <c r="C696" s="283"/>
      <c r="E696" s="283"/>
      <c r="G696" s="283"/>
      <c r="I696" s="283"/>
      <c r="K696" s="283"/>
      <c r="M696" s="283"/>
    </row>
    <row r="697" ht="15.75" customHeight="1">
      <c r="A697" s="283"/>
      <c r="B697" s="283"/>
      <c r="C697" s="283"/>
      <c r="E697" s="283"/>
      <c r="G697" s="283"/>
      <c r="I697" s="283"/>
      <c r="K697" s="283"/>
      <c r="M697" s="283"/>
    </row>
    <row r="698" ht="15.75" customHeight="1">
      <c r="A698" s="283"/>
      <c r="B698" s="283"/>
      <c r="C698" s="283"/>
      <c r="E698" s="283"/>
      <c r="G698" s="283"/>
      <c r="I698" s="283"/>
      <c r="K698" s="283"/>
      <c r="M698" s="283"/>
    </row>
    <row r="699" ht="15.75" customHeight="1">
      <c r="A699" s="283"/>
      <c r="B699" s="283"/>
      <c r="C699" s="283"/>
      <c r="E699" s="283"/>
      <c r="G699" s="283"/>
      <c r="I699" s="283"/>
      <c r="K699" s="283"/>
      <c r="M699" s="283"/>
    </row>
    <row r="700" ht="15.75" customHeight="1">
      <c r="A700" s="283"/>
      <c r="B700" s="283"/>
      <c r="C700" s="283"/>
      <c r="E700" s="283"/>
      <c r="G700" s="283"/>
      <c r="I700" s="283"/>
      <c r="K700" s="283"/>
      <c r="M700" s="283"/>
    </row>
    <row r="701" ht="15.75" customHeight="1">
      <c r="A701" s="283"/>
      <c r="B701" s="283"/>
      <c r="C701" s="283"/>
      <c r="E701" s="283"/>
      <c r="G701" s="283"/>
      <c r="I701" s="283"/>
      <c r="K701" s="283"/>
      <c r="M701" s="283"/>
    </row>
    <row r="702" ht="15.75" customHeight="1">
      <c r="A702" s="283"/>
      <c r="B702" s="283"/>
      <c r="C702" s="283"/>
      <c r="E702" s="283"/>
      <c r="G702" s="283"/>
      <c r="I702" s="283"/>
      <c r="K702" s="283"/>
      <c r="M702" s="283"/>
    </row>
    <row r="703" ht="15.75" customHeight="1">
      <c r="A703" s="283"/>
      <c r="B703" s="283"/>
      <c r="C703" s="283"/>
      <c r="E703" s="283"/>
      <c r="G703" s="283"/>
      <c r="I703" s="283"/>
      <c r="K703" s="283"/>
      <c r="M703" s="283"/>
    </row>
    <row r="704" ht="15.75" customHeight="1">
      <c r="A704" s="283"/>
      <c r="B704" s="283"/>
      <c r="C704" s="283"/>
      <c r="E704" s="283"/>
      <c r="G704" s="283"/>
      <c r="I704" s="283"/>
      <c r="K704" s="283"/>
      <c r="M704" s="283"/>
    </row>
    <row r="705" ht="15.75" customHeight="1">
      <c r="A705" s="283"/>
      <c r="B705" s="283"/>
      <c r="C705" s="283"/>
      <c r="E705" s="283"/>
      <c r="G705" s="283"/>
      <c r="I705" s="283"/>
      <c r="K705" s="283"/>
      <c r="M705" s="283"/>
    </row>
    <row r="706" ht="15.75" customHeight="1">
      <c r="A706" s="283"/>
      <c r="B706" s="283"/>
      <c r="C706" s="283"/>
      <c r="E706" s="283"/>
      <c r="G706" s="283"/>
      <c r="I706" s="283"/>
      <c r="K706" s="283"/>
      <c r="M706" s="283"/>
    </row>
    <row r="707" ht="15.75" customHeight="1">
      <c r="A707" s="283"/>
      <c r="B707" s="283"/>
      <c r="C707" s="283"/>
      <c r="E707" s="283"/>
      <c r="G707" s="283"/>
      <c r="I707" s="283"/>
      <c r="K707" s="283"/>
      <c r="M707" s="283"/>
    </row>
    <row r="708" ht="15.75" customHeight="1">
      <c r="A708" s="283"/>
      <c r="B708" s="283"/>
      <c r="C708" s="283"/>
      <c r="E708" s="283"/>
      <c r="G708" s="283"/>
      <c r="I708" s="283"/>
      <c r="K708" s="283"/>
      <c r="M708" s="283"/>
    </row>
    <row r="709" ht="15.75" customHeight="1">
      <c r="A709" s="283"/>
      <c r="B709" s="283"/>
      <c r="C709" s="283"/>
      <c r="E709" s="283"/>
      <c r="G709" s="283"/>
      <c r="I709" s="283"/>
      <c r="K709" s="283"/>
      <c r="M709" s="283"/>
    </row>
    <row r="710" ht="15.75" customHeight="1">
      <c r="A710" s="283"/>
      <c r="B710" s="283"/>
      <c r="C710" s="283"/>
      <c r="E710" s="283"/>
      <c r="G710" s="283"/>
      <c r="I710" s="283"/>
      <c r="K710" s="283"/>
      <c r="M710" s="283"/>
    </row>
    <row r="711" ht="15.75" customHeight="1">
      <c r="A711" s="283"/>
      <c r="B711" s="283"/>
      <c r="C711" s="283"/>
      <c r="E711" s="283"/>
      <c r="G711" s="283"/>
      <c r="I711" s="283"/>
      <c r="K711" s="283"/>
      <c r="M711" s="283"/>
    </row>
    <row r="712" ht="15.75" customHeight="1">
      <c r="A712" s="283"/>
      <c r="B712" s="283"/>
      <c r="C712" s="283"/>
      <c r="E712" s="283"/>
      <c r="G712" s="283"/>
      <c r="I712" s="283"/>
      <c r="K712" s="283"/>
      <c r="M712" s="283"/>
    </row>
    <row r="713" ht="15.75" customHeight="1">
      <c r="A713" s="283"/>
      <c r="B713" s="283"/>
      <c r="C713" s="283"/>
      <c r="E713" s="283"/>
      <c r="G713" s="283"/>
      <c r="I713" s="283"/>
      <c r="K713" s="283"/>
      <c r="M713" s="283"/>
    </row>
    <row r="714" ht="15.75" customHeight="1">
      <c r="A714" s="283"/>
      <c r="B714" s="283"/>
      <c r="C714" s="283"/>
      <c r="E714" s="283"/>
      <c r="G714" s="283"/>
      <c r="I714" s="283"/>
      <c r="K714" s="283"/>
      <c r="M714" s="283"/>
    </row>
    <row r="715" ht="15.75" customHeight="1">
      <c r="A715" s="283"/>
      <c r="B715" s="283"/>
      <c r="C715" s="283"/>
      <c r="E715" s="283"/>
      <c r="G715" s="283"/>
      <c r="I715" s="283"/>
      <c r="K715" s="283"/>
      <c r="M715" s="283"/>
    </row>
    <row r="716" ht="15.75" customHeight="1">
      <c r="A716" s="283"/>
      <c r="B716" s="283"/>
      <c r="C716" s="283"/>
      <c r="E716" s="283"/>
      <c r="G716" s="283"/>
      <c r="I716" s="283"/>
      <c r="K716" s="283"/>
      <c r="M716" s="283"/>
    </row>
    <row r="717" ht="15.75" customHeight="1">
      <c r="A717" s="283"/>
      <c r="B717" s="283"/>
      <c r="C717" s="283"/>
      <c r="E717" s="283"/>
      <c r="G717" s="283"/>
      <c r="I717" s="283"/>
      <c r="K717" s="283"/>
      <c r="M717" s="283"/>
    </row>
    <row r="718" ht="15.75" customHeight="1">
      <c r="A718" s="283"/>
      <c r="B718" s="283"/>
      <c r="C718" s="283"/>
      <c r="E718" s="283"/>
      <c r="G718" s="283"/>
      <c r="I718" s="283"/>
      <c r="K718" s="283"/>
      <c r="M718" s="283"/>
    </row>
    <row r="719" ht="15.75" customHeight="1">
      <c r="A719" s="283"/>
      <c r="B719" s="283"/>
      <c r="C719" s="283"/>
      <c r="E719" s="283"/>
      <c r="G719" s="283"/>
      <c r="I719" s="283"/>
      <c r="K719" s="283"/>
      <c r="M719" s="283"/>
    </row>
    <row r="720" ht="15.75" customHeight="1">
      <c r="A720" s="283"/>
      <c r="B720" s="283"/>
      <c r="C720" s="283"/>
      <c r="E720" s="283"/>
      <c r="G720" s="283"/>
      <c r="I720" s="283"/>
      <c r="K720" s="283"/>
      <c r="M720" s="283"/>
    </row>
    <row r="721" ht="15.75" customHeight="1">
      <c r="A721" s="283"/>
      <c r="B721" s="283"/>
      <c r="C721" s="283"/>
      <c r="E721" s="283"/>
      <c r="G721" s="283"/>
      <c r="I721" s="283"/>
      <c r="K721" s="283"/>
      <c r="M721" s="283"/>
    </row>
    <row r="722" ht="15.75" customHeight="1">
      <c r="A722" s="283"/>
      <c r="B722" s="283"/>
      <c r="C722" s="283"/>
      <c r="E722" s="283"/>
      <c r="G722" s="283"/>
      <c r="I722" s="283"/>
      <c r="K722" s="283"/>
      <c r="M722" s="283"/>
    </row>
    <row r="723" ht="15.75" customHeight="1">
      <c r="A723" s="283"/>
      <c r="B723" s="283"/>
      <c r="C723" s="283"/>
      <c r="E723" s="283"/>
      <c r="G723" s="283"/>
      <c r="I723" s="283"/>
      <c r="K723" s="283"/>
      <c r="M723" s="283"/>
    </row>
    <row r="724" ht="15.75" customHeight="1">
      <c r="A724" s="283"/>
      <c r="B724" s="283"/>
      <c r="C724" s="283"/>
      <c r="E724" s="283"/>
      <c r="G724" s="283"/>
      <c r="I724" s="283"/>
      <c r="K724" s="283"/>
      <c r="M724" s="283"/>
    </row>
    <row r="725" ht="15.75" customHeight="1">
      <c r="A725" s="283"/>
      <c r="B725" s="283"/>
      <c r="C725" s="283"/>
      <c r="E725" s="283"/>
      <c r="G725" s="283"/>
      <c r="I725" s="283"/>
      <c r="K725" s="283"/>
      <c r="M725" s="283"/>
    </row>
    <row r="726" ht="15.75" customHeight="1">
      <c r="A726" s="283"/>
      <c r="B726" s="283"/>
      <c r="C726" s="283"/>
      <c r="E726" s="283"/>
      <c r="G726" s="283"/>
      <c r="I726" s="283"/>
      <c r="K726" s="283"/>
      <c r="M726" s="283"/>
    </row>
    <row r="727" ht="15.75" customHeight="1">
      <c r="A727" s="283"/>
      <c r="B727" s="283"/>
      <c r="C727" s="283"/>
      <c r="E727" s="283"/>
      <c r="G727" s="283"/>
      <c r="I727" s="283"/>
      <c r="K727" s="283"/>
      <c r="M727" s="283"/>
    </row>
    <row r="728" ht="15.75" customHeight="1">
      <c r="A728" s="283"/>
      <c r="B728" s="283"/>
      <c r="C728" s="283"/>
      <c r="E728" s="283"/>
      <c r="G728" s="283"/>
      <c r="I728" s="283"/>
      <c r="K728" s="283"/>
      <c r="M728" s="283"/>
    </row>
    <row r="729" ht="15.75" customHeight="1">
      <c r="A729" s="283"/>
      <c r="B729" s="283"/>
      <c r="C729" s="283"/>
      <c r="E729" s="283"/>
      <c r="G729" s="283"/>
      <c r="I729" s="283"/>
      <c r="K729" s="283"/>
      <c r="M729" s="283"/>
    </row>
    <row r="730" ht="15.75" customHeight="1">
      <c r="A730" s="283"/>
      <c r="B730" s="283"/>
      <c r="C730" s="283"/>
      <c r="E730" s="283"/>
      <c r="G730" s="283"/>
      <c r="I730" s="283"/>
      <c r="K730" s="283"/>
      <c r="M730" s="283"/>
    </row>
    <row r="731" ht="15.75" customHeight="1">
      <c r="A731" s="283"/>
      <c r="B731" s="283"/>
      <c r="C731" s="283"/>
      <c r="E731" s="283"/>
      <c r="G731" s="283"/>
      <c r="I731" s="283"/>
      <c r="K731" s="283"/>
      <c r="M731" s="283"/>
    </row>
    <row r="732" ht="15.75" customHeight="1">
      <c r="A732" s="283"/>
      <c r="B732" s="283"/>
      <c r="C732" s="283"/>
      <c r="E732" s="283"/>
      <c r="G732" s="283"/>
      <c r="I732" s="283"/>
      <c r="K732" s="283"/>
      <c r="M732" s="283"/>
    </row>
    <row r="733" ht="15.75" customHeight="1">
      <c r="A733" s="283"/>
      <c r="B733" s="283"/>
      <c r="C733" s="283"/>
      <c r="E733" s="283"/>
      <c r="G733" s="283"/>
      <c r="I733" s="283"/>
      <c r="K733" s="283"/>
      <c r="M733" s="283"/>
    </row>
    <row r="734" ht="15.75" customHeight="1">
      <c r="A734" s="283"/>
      <c r="B734" s="283"/>
      <c r="C734" s="283"/>
      <c r="E734" s="283"/>
      <c r="G734" s="283"/>
      <c r="I734" s="283"/>
      <c r="K734" s="283"/>
      <c r="M734" s="283"/>
    </row>
    <row r="735" ht="15.75" customHeight="1">
      <c r="A735" s="283"/>
      <c r="B735" s="283"/>
      <c r="C735" s="283"/>
      <c r="E735" s="283"/>
      <c r="G735" s="283"/>
      <c r="I735" s="283"/>
      <c r="K735" s="283"/>
      <c r="M735" s="283"/>
    </row>
    <row r="736" ht="15.75" customHeight="1">
      <c r="A736" s="283"/>
      <c r="B736" s="283"/>
      <c r="C736" s="283"/>
      <c r="E736" s="283"/>
      <c r="G736" s="283"/>
      <c r="I736" s="283"/>
      <c r="K736" s="283"/>
      <c r="M736" s="283"/>
    </row>
    <row r="737" ht="15.75" customHeight="1">
      <c r="A737" s="283"/>
      <c r="B737" s="283"/>
      <c r="C737" s="283"/>
      <c r="E737" s="283"/>
      <c r="G737" s="283"/>
      <c r="I737" s="283"/>
      <c r="K737" s="283"/>
      <c r="M737" s="283"/>
    </row>
    <row r="738" ht="15.75" customHeight="1">
      <c r="A738" s="283"/>
      <c r="B738" s="283"/>
      <c r="C738" s="283"/>
      <c r="E738" s="283"/>
      <c r="G738" s="283"/>
      <c r="I738" s="283"/>
      <c r="K738" s="283"/>
      <c r="M738" s="283"/>
    </row>
    <row r="739" ht="15.75" customHeight="1">
      <c r="A739" s="283"/>
      <c r="B739" s="283"/>
      <c r="C739" s="283"/>
      <c r="E739" s="283"/>
      <c r="G739" s="283"/>
      <c r="I739" s="283"/>
      <c r="K739" s="283"/>
      <c r="M739" s="283"/>
    </row>
    <row r="740" ht="15.75" customHeight="1">
      <c r="A740" s="283"/>
      <c r="B740" s="283"/>
      <c r="C740" s="283"/>
      <c r="E740" s="283"/>
      <c r="G740" s="283"/>
      <c r="I740" s="283"/>
      <c r="K740" s="283"/>
      <c r="M740" s="283"/>
    </row>
    <row r="741" ht="15.75" customHeight="1">
      <c r="A741" s="283"/>
      <c r="B741" s="283"/>
      <c r="C741" s="283"/>
      <c r="E741" s="283"/>
      <c r="G741" s="283"/>
      <c r="I741" s="283"/>
      <c r="K741" s="283"/>
      <c r="M741" s="283"/>
    </row>
    <row r="742" ht="15.75" customHeight="1">
      <c r="A742" s="283"/>
      <c r="B742" s="283"/>
      <c r="C742" s="283"/>
      <c r="E742" s="283"/>
      <c r="G742" s="283"/>
      <c r="I742" s="283"/>
      <c r="K742" s="283"/>
      <c r="M742" s="283"/>
    </row>
    <row r="743" ht="15.75" customHeight="1">
      <c r="A743" s="283"/>
      <c r="B743" s="283"/>
      <c r="C743" s="283"/>
      <c r="E743" s="283"/>
      <c r="G743" s="283"/>
      <c r="I743" s="283"/>
      <c r="K743" s="283"/>
      <c r="M743" s="283"/>
    </row>
    <row r="744" ht="15.75" customHeight="1">
      <c r="A744" s="283"/>
      <c r="B744" s="283"/>
      <c r="C744" s="283"/>
      <c r="E744" s="283"/>
      <c r="G744" s="283"/>
      <c r="I744" s="283"/>
      <c r="K744" s="283"/>
      <c r="M744" s="283"/>
    </row>
    <row r="745" ht="15.75" customHeight="1">
      <c r="A745" s="283"/>
      <c r="B745" s="283"/>
      <c r="C745" s="283"/>
      <c r="E745" s="283"/>
      <c r="G745" s="283"/>
      <c r="I745" s="283"/>
      <c r="K745" s="283"/>
      <c r="M745" s="283"/>
    </row>
    <row r="746" ht="15.75" customHeight="1">
      <c r="A746" s="283"/>
      <c r="B746" s="283"/>
      <c r="C746" s="283"/>
      <c r="E746" s="283"/>
      <c r="G746" s="283"/>
      <c r="I746" s="283"/>
      <c r="K746" s="283"/>
      <c r="M746" s="283"/>
    </row>
    <row r="747" ht="15.75" customHeight="1">
      <c r="A747" s="283"/>
      <c r="B747" s="283"/>
      <c r="C747" s="283"/>
      <c r="E747" s="283"/>
      <c r="G747" s="283"/>
      <c r="I747" s="283"/>
      <c r="K747" s="283"/>
      <c r="M747" s="283"/>
    </row>
    <row r="748" ht="15.75" customHeight="1">
      <c r="A748" s="283"/>
      <c r="B748" s="283"/>
      <c r="C748" s="283"/>
      <c r="E748" s="283"/>
      <c r="G748" s="283"/>
      <c r="I748" s="283"/>
      <c r="K748" s="283"/>
      <c r="M748" s="283"/>
    </row>
    <row r="749" ht="15.75" customHeight="1">
      <c r="A749" s="283"/>
      <c r="B749" s="283"/>
      <c r="C749" s="283"/>
      <c r="E749" s="283"/>
      <c r="G749" s="283"/>
      <c r="I749" s="283"/>
      <c r="K749" s="283"/>
      <c r="M749" s="283"/>
    </row>
    <row r="750" ht="15.75" customHeight="1">
      <c r="A750" s="283"/>
      <c r="B750" s="283"/>
      <c r="C750" s="283"/>
      <c r="E750" s="283"/>
      <c r="G750" s="283"/>
      <c r="I750" s="283"/>
      <c r="K750" s="283"/>
      <c r="M750" s="283"/>
    </row>
    <row r="751" ht="15.75" customHeight="1">
      <c r="A751" s="283"/>
      <c r="B751" s="283"/>
      <c r="C751" s="283"/>
      <c r="E751" s="283"/>
      <c r="G751" s="283"/>
      <c r="I751" s="283"/>
      <c r="K751" s="283"/>
      <c r="M751" s="283"/>
    </row>
    <row r="752" ht="15.75" customHeight="1">
      <c r="A752" s="283"/>
      <c r="B752" s="283"/>
      <c r="C752" s="283"/>
      <c r="E752" s="283"/>
      <c r="G752" s="283"/>
      <c r="I752" s="283"/>
      <c r="K752" s="283"/>
      <c r="M752" s="283"/>
    </row>
    <row r="753" ht="15.75" customHeight="1">
      <c r="A753" s="283"/>
      <c r="B753" s="283"/>
      <c r="C753" s="283"/>
      <c r="E753" s="283"/>
      <c r="G753" s="283"/>
      <c r="I753" s="283"/>
      <c r="K753" s="283"/>
      <c r="M753" s="283"/>
    </row>
    <row r="754" ht="15.75" customHeight="1">
      <c r="A754" s="283"/>
      <c r="B754" s="283"/>
      <c r="C754" s="283"/>
      <c r="E754" s="283"/>
      <c r="G754" s="283"/>
      <c r="I754" s="283"/>
      <c r="K754" s="283"/>
      <c r="M754" s="283"/>
    </row>
    <row r="755" ht="15.75" customHeight="1">
      <c r="A755" s="283"/>
      <c r="B755" s="283"/>
      <c r="C755" s="283"/>
      <c r="E755" s="283"/>
      <c r="G755" s="283"/>
      <c r="I755" s="283"/>
      <c r="K755" s="283"/>
      <c r="M755" s="283"/>
    </row>
    <row r="756" ht="15.75" customHeight="1">
      <c r="A756" s="283"/>
      <c r="B756" s="283"/>
      <c r="C756" s="283"/>
      <c r="E756" s="283"/>
      <c r="G756" s="283"/>
      <c r="I756" s="283"/>
      <c r="K756" s="283"/>
      <c r="M756" s="283"/>
    </row>
    <row r="757" ht="15.75" customHeight="1">
      <c r="A757" s="283"/>
      <c r="B757" s="283"/>
      <c r="C757" s="283"/>
      <c r="E757" s="283"/>
      <c r="G757" s="283"/>
      <c r="I757" s="283"/>
      <c r="K757" s="283"/>
      <c r="M757" s="283"/>
    </row>
    <row r="758" ht="15.75" customHeight="1">
      <c r="A758" s="283"/>
      <c r="B758" s="283"/>
      <c r="C758" s="283"/>
      <c r="E758" s="283"/>
      <c r="G758" s="283"/>
      <c r="I758" s="283"/>
      <c r="K758" s="283"/>
      <c r="M758" s="283"/>
    </row>
    <row r="759" ht="15.75" customHeight="1">
      <c r="A759" s="283"/>
      <c r="B759" s="283"/>
      <c r="C759" s="283"/>
      <c r="E759" s="283"/>
      <c r="G759" s="283"/>
      <c r="I759" s="283"/>
      <c r="K759" s="283"/>
      <c r="M759" s="283"/>
    </row>
    <row r="760" ht="15.75" customHeight="1">
      <c r="A760" s="283"/>
      <c r="B760" s="283"/>
      <c r="C760" s="283"/>
      <c r="E760" s="283"/>
      <c r="G760" s="283"/>
      <c r="I760" s="283"/>
      <c r="K760" s="283"/>
      <c r="M760" s="283"/>
    </row>
    <row r="761" ht="15.75" customHeight="1">
      <c r="A761" s="283"/>
      <c r="B761" s="283"/>
      <c r="C761" s="283"/>
      <c r="E761" s="283"/>
      <c r="G761" s="283"/>
      <c r="I761" s="283"/>
      <c r="K761" s="283"/>
      <c r="M761" s="283"/>
    </row>
    <row r="762" ht="15.75" customHeight="1">
      <c r="A762" s="283"/>
      <c r="B762" s="283"/>
      <c r="C762" s="283"/>
      <c r="E762" s="283"/>
      <c r="G762" s="283"/>
      <c r="I762" s="283"/>
      <c r="K762" s="283"/>
      <c r="M762" s="283"/>
    </row>
    <row r="763" ht="15.75" customHeight="1">
      <c r="A763" s="283"/>
      <c r="B763" s="283"/>
      <c r="C763" s="283"/>
      <c r="E763" s="283"/>
      <c r="G763" s="283"/>
      <c r="I763" s="283"/>
      <c r="K763" s="283"/>
      <c r="M763" s="283"/>
    </row>
    <row r="764" ht="15.75" customHeight="1">
      <c r="A764" s="283"/>
      <c r="B764" s="283"/>
      <c r="C764" s="283"/>
      <c r="E764" s="283"/>
      <c r="G764" s="283"/>
      <c r="I764" s="283"/>
      <c r="K764" s="283"/>
      <c r="M764" s="283"/>
    </row>
    <row r="765" ht="15.75" customHeight="1">
      <c r="A765" s="283"/>
      <c r="B765" s="283"/>
      <c r="C765" s="283"/>
      <c r="E765" s="283"/>
      <c r="G765" s="283"/>
      <c r="I765" s="283"/>
      <c r="K765" s="283"/>
      <c r="M765" s="283"/>
    </row>
    <row r="766" ht="15.75" customHeight="1">
      <c r="A766" s="283"/>
      <c r="B766" s="283"/>
      <c r="C766" s="283"/>
      <c r="E766" s="283"/>
      <c r="G766" s="283"/>
      <c r="I766" s="283"/>
      <c r="K766" s="283"/>
      <c r="M766" s="283"/>
    </row>
    <row r="767" ht="15.75" customHeight="1">
      <c r="A767" s="283"/>
      <c r="B767" s="283"/>
      <c r="C767" s="283"/>
      <c r="E767" s="283"/>
      <c r="G767" s="283"/>
      <c r="I767" s="283"/>
      <c r="K767" s="283"/>
      <c r="M767" s="283"/>
    </row>
    <row r="768" ht="15.75" customHeight="1">
      <c r="A768" s="283"/>
      <c r="B768" s="283"/>
      <c r="C768" s="283"/>
      <c r="E768" s="283"/>
      <c r="G768" s="283"/>
      <c r="I768" s="283"/>
      <c r="K768" s="283"/>
      <c r="M768" s="283"/>
    </row>
    <row r="769" ht="15.75" customHeight="1">
      <c r="A769" s="283"/>
      <c r="B769" s="283"/>
      <c r="C769" s="283"/>
      <c r="E769" s="283"/>
      <c r="G769" s="283"/>
      <c r="I769" s="283"/>
      <c r="K769" s="283"/>
      <c r="M769" s="283"/>
    </row>
    <row r="770" ht="15.75" customHeight="1">
      <c r="A770" s="283"/>
      <c r="B770" s="283"/>
      <c r="C770" s="283"/>
      <c r="E770" s="283"/>
      <c r="G770" s="283"/>
      <c r="I770" s="283"/>
      <c r="K770" s="283"/>
      <c r="M770" s="283"/>
    </row>
    <row r="771" ht="15.75" customHeight="1">
      <c r="A771" s="283"/>
      <c r="B771" s="283"/>
      <c r="C771" s="283"/>
      <c r="E771" s="283"/>
      <c r="G771" s="283"/>
      <c r="I771" s="283"/>
      <c r="K771" s="283"/>
      <c r="M771" s="283"/>
    </row>
    <row r="772" ht="15.75" customHeight="1">
      <c r="A772" s="283"/>
      <c r="B772" s="283"/>
      <c r="C772" s="283"/>
      <c r="E772" s="283"/>
      <c r="G772" s="283"/>
      <c r="I772" s="283"/>
      <c r="K772" s="283"/>
      <c r="M772" s="283"/>
    </row>
    <row r="773" ht="15.75" customHeight="1">
      <c r="A773" s="283"/>
      <c r="B773" s="283"/>
      <c r="C773" s="283"/>
      <c r="E773" s="283"/>
      <c r="G773" s="283"/>
      <c r="I773" s="283"/>
      <c r="K773" s="283"/>
      <c r="M773" s="283"/>
    </row>
    <row r="774" ht="15.75" customHeight="1">
      <c r="A774" s="283"/>
      <c r="B774" s="283"/>
      <c r="C774" s="283"/>
      <c r="E774" s="283"/>
      <c r="G774" s="283"/>
      <c r="I774" s="283"/>
      <c r="K774" s="283"/>
      <c r="M774" s="283"/>
    </row>
    <row r="775" ht="15.75" customHeight="1">
      <c r="A775" s="283"/>
      <c r="B775" s="283"/>
      <c r="C775" s="283"/>
      <c r="E775" s="283"/>
      <c r="G775" s="283"/>
      <c r="I775" s="283"/>
      <c r="K775" s="283"/>
      <c r="M775" s="283"/>
    </row>
    <row r="776" ht="15.75" customHeight="1">
      <c r="A776" s="283"/>
      <c r="B776" s="283"/>
      <c r="C776" s="283"/>
      <c r="E776" s="283"/>
      <c r="G776" s="283"/>
      <c r="I776" s="283"/>
      <c r="K776" s="283"/>
      <c r="M776" s="283"/>
    </row>
    <row r="777" ht="15.75" customHeight="1">
      <c r="A777" s="283"/>
      <c r="B777" s="283"/>
      <c r="C777" s="283"/>
      <c r="E777" s="283"/>
      <c r="G777" s="283"/>
      <c r="I777" s="283"/>
      <c r="K777" s="283"/>
      <c r="M777" s="283"/>
    </row>
    <row r="778" ht="15.75" customHeight="1">
      <c r="A778" s="283"/>
      <c r="B778" s="283"/>
      <c r="C778" s="283"/>
      <c r="E778" s="283"/>
      <c r="G778" s="283"/>
      <c r="I778" s="283"/>
      <c r="K778" s="283"/>
      <c r="M778" s="283"/>
    </row>
    <row r="779" ht="15.75" customHeight="1">
      <c r="A779" s="283"/>
      <c r="B779" s="283"/>
      <c r="C779" s="283"/>
      <c r="E779" s="283"/>
      <c r="G779" s="283"/>
      <c r="I779" s="283"/>
      <c r="K779" s="283"/>
      <c r="M779" s="283"/>
    </row>
    <row r="780" ht="15.75" customHeight="1">
      <c r="A780" s="283"/>
      <c r="B780" s="283"/>
      <c r="C780" s="283"/>
      <c r="E780" s="283"/>
      <c r="G780" s="283"/>
      <c r="I780" s="283"/>
      <c r="K780" s="283"/>
      <c r="M780" s="283"/>
    </row>
    <row r="781" ht="15.75" customHeight="1">
      <c r="A781" s="283"/>
      <c r="B781" s="283"/>
      <c r="C781" s="283"/>
      <c r="E781" s="283"/>
      <c r="G781" s="283"/>
      <c r="I781" s="283"/>
      <c r="K781" s="283"/>
      <c r="M781" s="283"/>
    </row>
    <row r="782" ht="15.75" customHeight="1">
      <c r="A782" s="283"/>
      <c r="B782" s="283"/>
      <c r="C782" s="283"/>
      <c r="E782" s="283"/>
      <c r="G782" s="283"/>
      <c r="I782" s="283"/>
      <c r="K782" s="283"/>
      <c r="M782" s="283"/>
    </row>
    <row r="783" ht="15.75" customHeight="1">
      <c r="A783" s="283"/>
      <c r="B783" s="283"/>
      <c r="C783" s="283"/>
      <c r="E783" s="283"/>
      <c r="G783" s="283"/>
      <c r="I783" s="283"/>
      <c r="K783" s="283"/>
      <c r="M783" s="283"/>
    </row>
    <row r="784" ht="15.75" customHeight="1">
      <c r="A784" s="283"/>
      <c r="B784" s="283"/>
      <c r="C784" s="283"/>
      <c r="E784" s="283"/>
      <c r="G784" s="283"/>
      <c r="I784" s="283"/>
      <c r="K784" s="283"/>
      <c r="M784" s="283"/>
    </row>
    <row r="785" ht="15.75" customHeight="1">
      <c r="A785" s="283"/>
      <c r="B785" s="283"/>
      <c r="C785" s="283"/>
      <c r="E785" s="283"/>
      <c r="G785" s="283"/>
      <c r="I785" s="283"/>
      <c r="K785" s="283"/>
      <c r="M785" s="283"/>
    </row>
    <row r="786" ht="15.75" customHeight="1">
      <c r="A786" s="283"/>
      <c r="B786" s="283"/>
      <c r="C786" s="283"/>
      <c r="E786" s="283"/>
      <c r="G786" s="283"/>
      <c r="I786" s="283"/>
      <c r="K786" s="283"/>
      <c r="M786" s="283"/>
    </row>
    <row r="787" ht="15.75" customHeight="1">
      <c r="A787" s="283"/>
      <c r="B787" s="283"/>
      <c r="C787" s="283"/>
      <c r="E787" s="283"/>
      <c r="G787" s="283"/>
      <c r="I787" s="283"/>
      <c r="K787" s="283"/>
      <c r="M787" s="283"/>
    </row>
    <row r="788" ht="15.75" customHeight="1">
      <c r="A788" s="283"/>
      <c r="B788" s="283"/>
      <c r="C788" s="283"/>
      <c r="E788" s="283"/>
      <c r="G788" s="283"/>
      <c r="I788" s="283"/>
      <c r="K788" s="283"/>
      <c r="M788" s="283"/>
    </row>
    <row r="789" ht="15.75" customHeight="1">
      <c r="A789" s="283"/>
      <c r="B789" s="283"/>
      <c r="C789" s="283"/>
      <c r="E789" s="283"/>
      <c r="G789" s="283"/>
      <c r="I789" s="283"/>
      <c r="K789" s="283"/>
      <c r="M789" s="283"/>
    </row>
    <row r="790" ht="15.75" customHeight="1">
      <c r="A790" s="283"/>
      <c r="B790" s="283"/>
      <c r="C790" s="283"/>
      <c r="E790" s="283"/>
      <c r="G790" s="283"/>
      <c r="I790" s="283"/>
      <c r="K790" s="283"/>
      <c r="M790" s="283"/>
    </row>
    <row r="791" ht="15.75" customHeight="1">
      <c r="A791" s="283"/>
      <c r="B791" s="283"/>
      <c r="C791" s="283"/>
      <c r="E791" s="283"/>
      <c r="G791" s="283"/>
      <c r="I791" s="283"/>
      <c r="K791" s="283"/>
      <c r="M791" s="283"/>
    </row>
    <row r="792" ht="15.75" customHeight="1">
      <c r="A792" s="283"/>
      <c r="B792" s="283"/>
      <c r="C792" s="283"/>
      <c r="E792" s="283"/>
      <c r="G792" s="283"/>
      <c r="I792" s="283"/>
      <c r="K792" s="283"/>
      <c r="M792" s="283"/>
    </row>
    <row r="793" ht="15.75" customHeight="1">
      <c r="A793" s="283"/>
      <c r="B793" s="283"/>
      <c r="C793" s="283"/>
      <c r="E793" s="283"/>
      <c r="G793" s="283"/>
      <c r="I793" s="283"/>
      <c r="K793" s="283"/>
      <c r="M793" s="283"/>
    </row>
    <row r="794" ht="15.75" customHeight="1">
      <c r="A794" s="283"/>
      <c r="B794" s="283"/>
      <c r="C794" s="283"/>
      <c r="E794" s="283"/>
      <c r="G794" s="283"/>
      <c r="I794" s="283"/>
      <c r="K794" s="283"/>
      <c r="M794" s="283"/>
    </row>
    <row r="795" ht="15.75" customHeight="1">
      <c r="A795" s="283"/>
      <c r="B795" s="283"/>
      <c r="C795" s="283"/>
      <c r="E795" s="283"/>
      <c r="G795" s="283"/>
      <c r="I795" s="283"/>
      <c r="K795" s="283"/>
      <c r="M795" s="283"/>
    </row>
    <row r="796" ht="15.75" customHeight="1">
      <c r="A796" s="283"/>
      <c r="B796" s="283"/>
      <c r="C796" s="283"/>
      <c r="E796" s="283"/>
      <c r="G796" s="283"/>
      <c r="I796" s="283"/>
      <c r="K796" s="283"/>
      <c r="M796" s="283"/>
    </row>
    <row r="797" ht="15.75" customHeight="1">
      <c r="A797" s="283"/>
      <c r="B797" s="283"/>
      <c r="C797" s="283"/>
      <c r="E797" s="283"/>
      <c r="G797" s="283"/>
      <c r="I797" s="283"/>
      <c r="K797" s="283"/>
      <c r="M797" s="283"/>
    </row>
    <row r="798" ht="15.75" customHeight="1">
      <c r="A798" s="283"/>
      <c r="B798" s="283"/>
      <c r="C798" s="283"/>
      <c r="E798" s="283"/>
      <c r="G798" s="283"/>
      <c r="I798" s="283"/>
      <c r="K798" s="283"/>
      <c r="M798" s="283"/>
    </row>
    <row r="799" ht="15.75" customHeight="1">
      <c r="A799" s="283"/>
      <c r="B799" s="283"/>
      <c r="C799" s="283"/>
      <c r="E799" s="283"/>
      <c r="G799" s="283"/>
      <c r="I799" s="283"/>
      <c r="K799" s="283"/>
      <c r="M799" s="283"/>
    </row>
    <row r="800" ht="15.75" customHeight="1">
      <c r="A800" s="283"/>
      <c r="B800" s="283"/>
      <c r="C800" s="283"/>
      <c r="E800" s="283"/>
      <c r="G800" s="283"/>
      <c r="I800" s="283"/>
      <c r="K800" s="283"/>
      <c r="M800" s="283"/>
    </row>
    <row r="801" ht="15.75" customHeight="1">
      <c r="A801" s="283"/>
      <c r="B801" s="283"/>
      <c r="C801" s="283"/>
      <c r="E801" s="283"/>
      <c r="G801" s="283"/>
      <c r="I801" s="283"/>
      <c r="K801" s="283"/>
      <c r="M801" s="283"/>
    </row>
    <row r="802" ht="15.75" customHeight="1">
      <c r="A802" s="283"/>
      <c r="B802" s="283"/>
      <c r="C802" s="283"/>
      <c r="E802" s="283"/>
      <c r="G802" s="283"/>
      <c r="I802" s="283"/>
      <c r="K802" s="283"/>
      <c r="M802" s="283"/>
    </row>
    <row r="803" ht="15.75" customHeight="1">
      <c r="A803" s="283"/>
      <c r="B803" s="283"/>
      <c r="C803" s="283"/>
      <c r="E803" s="283"/>
      <c r="G803" s="283"/>
      <c r="I803" s="283"/>
      <c r="K803" s="283"/>
      <c r="M803" s="283"/>
    </row>
    <row r="804" ht="15.75" customHeight="1">
      <c r="A804" s="283"/>
      <c r="B804" s="283"/>
      <c r="C804" s="283"/>
      <c r="E804" s="283"/>
      <c r="G804" s="283"/>
      <c r="I804" s="283"/>
      <c r="K804" s="283"/>
      <c r="M804" s="283"/>
    </row>
    <row r="805" ht="15.75" customHeight="1">
      <c r="A805" s="283"/>
      <c r="B805" s="283"/>
      <c r="C805" s="283"/>
      <c r="E805" s="283"/>
      <c r="G805" s="283"/>
      <c r="I805" s="283"/>
      <c r="K805" s="283"/>
      <c r="M805" s="283"/>
    </row>
    <row r="806" ht="15.75" customHeight="1">
      <c r="A806" s="283"/>
      <c r="B806" s="283"/>
      <c r="C806" s="283"/>
      <c r="E806" s="283"/>
      <c r="G806" s="283"/>
      <c r="I806" s="283"/>
      <c r="K806" s="283"/>
      <c r="M806" s="283"/>
    </row>
    <row r="807" ht="15.75" customHeight="1">
      <c r="A807" s="283"/>
      <c r="B807" s="283"/>
      <c r="C807" s="283"/>
      <c r="E807" s="283"/>
      <c r="G807" s="283"/>
      <c r="I807" s="283"/>
      <c r="K807" s="283"/>
      <c r="M807" s="283"/>
    </row>
    <row r="808" ht="15.75" customHeight="1">
      <c r="A808" s="283"/>
      <c r="B808" s="283"/>
      <c r="C808" s="283"/>
      <c r="E808" s="283"/>
      <c r="G808" s="283"/>
      <c r="I808" s="283"/>
      <c r="K808" s="283"/>
      <c r="M808" s="283"/>
    </row>
    <row r="809" ht="15.75" customHeight="1">
      <c r="A809" s="283"/>
      <c r="B809" s="283"/>
      <c r="C809" s="283"/>
      <c r="E809" s="283"/>
      <c r="G809" s="283"/>
      <c r="I809" s="283"/>
      <c r="K809" s="283"/>
      <c r="M809" s="283"/>
    </row>
    <row r="810" ht="15.75" customHeight="1">
      <c r="A810" s="283"/>
      <c r="B810" s="283"/>
      <c r="C810" s="283"/>
      <c r="E810" s="283"/>
      <c r="G810" s="283"/>
      <c r="I810" s="283"/>
      <c r="K810" s="283"/>
      <c r="M810" s="283"/>
    </row>
    <row r="811" ht="15.75" customHeight="1">
      <c r="A811" s="283"/>
      <c r="B811" s="283"/>
      <c r="C811" s="283"/>
      <c r="E811" s="283"/>
      <c r="G811" s="283"/>
      <c r="I811" s="283"/>
      <c r="K811" s="283"/>
      <c r="M811" s="283"/>
    </row>
    <row r="812" ht="15.75" customHeight="1">
      <c r="A812" s="283"/>
      <c r="B812" s="283"/>
      <c r="C812" s="283"/>
      <c r="E812" s="283"/>
      <c r="G812" s="283"/>
      <c r="I812" s="283"/>
      <c r="K812" s="283"/>
      <c r="M812" s="283"/>
    </row>
    <row r="813" ht="15.75" customHeight="1">
      <c r="A813" s="283"/>
      <c r="B813" s="283"/>
      <c r="C813" s="283"/>
      <c r="E813" s="283"/>
      <c r="G813" s="283"/>
      <c r="I813" s="283"/>
      <c r="K813" s="283"/>
      <c r="M813" s="283"/>
    </row>
    <row r="814" ht="15.75" customHeight="1">
      <c r="A814" s="283"/>
      <c r="B814" s="283"/>
      <c r="C814" s="283"/>
      <c r="E814" s="283"/>
      <c r="G814" s="283"/>
      <c r="I814" s="283"/>
      <c r="K814" s="283"/>
      <c r="M814" s="283"/>
    </row>
    <row r="815" ht="15.75" customHeight="1">
      <c r="A815" s="283"/>
      <c r="B815" s="283"/>
      <c r="C815" s="283"/>
      <c r="E815" s="283"/>
      <c r="G815" s="283"/>
      <c r="I815" s="283"/>
      <c r="K815" s="283"/>
      <c r="M815" s="283"/>
    </row>
    <row r="816" ht="15.75" customHeight="1">
      <c r="A816" s="283"/>
      <c r="B816" s="283"/>
      <c r="C816" s="283"/>
      <c r="E816" s="283"/>
      <c r="G816" s="283"/>
      <c r="I816" s="283"/>
      <c r="K816" s="283"/>
      <c r="M816" s="283"/>
    </row>
    <row r="817" ht="15.75" customHeight="1">
      <c r="A817" s="283"/>
      <c r="B817" s="283"/>
      <c r="C817" s="283"/>
      <c r="E817" s="283"/>
      <c r="G817" s="283"/>
      <c r="I817" s="283"/>
      <c r="K817" s="283"/>
      <c r="M817" s="283"/>
    </row>
    <row r="818" ht="15.75" customHeight="1">
      <c r="A818" s="283"/>
      <c r="B818" s="283"/>
      <c r="C818" s="283"/>
      <c r="E818" s="283"/>
      <c r="G818" s="283"/>
      <c r="I818" s="283"/>
      <c r="K818" s="283"/>
      <c r="M818" s="283"/>
    </row>
    <row r="819" ht="15.75" customHeight="1">
      <c r="A819" s="283"/>
      <c r="B819" s="283"/>
      <c r="C819" s="283"/>
      <c r="E819" s="283"/>
      <c r="G819" s="283"/>
      <c r="I819" s="283"/>
      <c r="K819" s="283"/>
      <c r="M819" s="283"/>
    </row>
    <row r="820" ht="15.75" customHeight="1">
      <c r="A820" s="283"/>
      <c r="B820" s="283"/>
      <c r="C820" s="283"/>
      <c r="E820" s="283"/>
      <c r="G820" s="283"/>
      <c r="I820" s="283"/>
      <c r="K820" s="283"/>
      <c r="M820" s="283"/>
    </row>
    <row r="821" ht="15.75" customHeight="1">
      <c r="A821" s="283"/>
      <c r="B821" s="283"/>
      <c r="C821" s="283"/>
      <c r="E821" s="283"/>
      <c r="G821" s="283"/>
      <c r="I821" s="283"/>
      <c r="K821" s="283"/>
      <c r="M821" s="283"/>
    </row>
    <row r="822" ht="15.75" customHeight="1">
      <c r="A822" s="283"/>
      <c r="B822" s="283"/>
      <c r="C822" s="283"/>
      <c r="E822" s="283"/>
      <c r="G822" s="283"/>
      <c r="I822" s="283"/>
      <c r="K822" s="283"/>
      <c r="M822" s="283"/>
    </row>
    <row r="823" ht="15.75" customHeight="1">
      <c r="A823" s="283"/>
      <c r="B823" s="283"/>
      <c r="C823" s="283"/>
      <c r="E823" s="283"/>
      <c r="G823" s="283"/>
      <c r="I823" s="283"/>
      <c r="K823" s="283"/>
      <c r="M823" s="283"/>
    </row>
    <row r="824" ht="15.75" customHeight="1">
      <c r="A824" s="283"/>
      <c r="B824" s="283"/>
      <c r="C824" s="283"/>
      <c r="E824" s="283"/>
      <c r="G824" s="283"/>
      <c r="I824" s="283"/>
      <c r="K824" s="283"/>
      <c r="M824" s="283"/>
    </row>
    <row r="825" ht="15.75" customHeight="1">
      <c r="A825" s="283"/>
      <c r="B825" s="283"/>
      <c r="C825" s="283"/>
      <c r="E825" s="283"/>
      <c r="G825" s="283"/>
      <c r="I825" s="283"/>
      <c r="K825" s="283"/>
      <c r="M825" s="283"/>
    </row>
    <row r="826" ht="15.75" customHeight="1">
      <c r="A826" s="283"/>
      <c r="B826" s="283"/>
      <c r="C826" s="283"/>
      <c r="E826" s="283"/>
      <c r="G826" s="283"/>
      <c r="I826" s="283"/>
      <c r="K826" s="283"/>
      <c r="M826" s="283"/>
    </row>
    <row r="827" ht="15.75" customHeight="1">
      <c r="A827" s="283"/>
      <c r="B827" s="283"/>
      <c r="C827" s="283"/>
      <c r="E827" s="283"/>
      <c r="G827" s="283"/>
      <c r="I827" s="283"/>
      <c r="K827" s="283"/>
      <c r="M827" s="283"/>
    </row>
    <row r="828" ht="15.75" customHeight="1">
      <c r="A828" s="283"/>
      <c r="B828" s="283"/>
      <c r="C828" s="283"/>
      <c r="E828" s="283"/>
      <c r="G828" s="283"/>
      <c r="I828" s="283"/>
      <c r="K828" s="283"/>
      <c r="M828" s="283"/>
    </row>
    <row r="829" ht="15.75" customHeight="1">
      <c r="A829" s="283"/>
      <c r="B829" s="283"/>
      <c r="C829" s="283"/>
      <c r="E829" s="283"/>
      <c r="G829" s="283"/>
      <c r="I829" s="283"/>
      <c r="K829" s="283"/>
      <c r="M829" s="283"/>
    </row>
    <row r="830" ht="15.75" customHeight="1">
      <c r="A830" s="283"/>
      <c r="B830" s="283"/>
      <c r="C830" s="283"/>
      <c r="E830" s="283"/>
      <c r="G830" s="283"/>
      <c r="I830" s="283"/>
      <c r="K830" s="283"/>
      <c r="M830" s="283"/>
    </row>
    <row r="831" ht="15.75" customHeight="1">
      <c r="A831" s="283"/>
      <c r="B831" s="283"/>
      <c r="C831" s="283"/>
      <c r="E831" s="283"/>
      <c r="G831" s="283"/>
      <c r="I831" s="283"/>
      <c r="K831" s="283"/>
      <c r="M831" s="283"/>
    </row>
    <row r="832" ht="15.75" customHeight="1">
      <c r="A832" s="283"/>
      <c r="B832" s="283"/>
      <c r="C832" s="283"/>
      <c r="E832" s="283"/>
      <c r="G832" s="283"/>
      <c r="I832" s="283"/>
      <c r="K832" s="283"/>
      <c r="M832" s="283"/>
    </row>
    <row r="833" ht="15.75" customHeight="1">
      <c r="A833" s="283"/>
      <c r="B833" s="283"/>
      <c r="C833" s="283"/>
      <c r="E833" s="283"/>
      <c r="G833" s="283"/>
      <c r="I833" s="283"/>
      <c r="K833" s="283"/>
      <c r="M833" s="283"/>
    </row>
    <row r="834" ht="15.75" customHeight="1">
      <c r="A834" s="283"/>
      <c r="B834" s="283"/>
      <c r="C834" s="283"/>
      <c r="E834" s="283"/>
      <c r="G834" s="283"/>
      <c r="I834" s="283"/>
      <c r="K834" s="283"/>
      <c r="M834" s="283"/>
    </row>
    <row r="835" ht="15.75" customHeight="1">
      <c r="A835" s="283"/>
      <c r="B835" s="283"/>
      <c r="C835" s="283"/>
      <c r="E835" s="283"/>
      <c r="G835" s="283"/>
      <c r="I835" s="283"/>
      <c r="K835" s="283"/>
      <c r="M835" s="283"/>
    </row>
    <row r="836" ht="15.75" customHeight="1">
      <c r="A836" s="283"/>
      <c r="B836" s="283"/>
      <c r="C836" s="283"/>
      <c r="E836" s="283"/>
      <c r="G836" s="283"/>
      <c r="I836" s="283"/>
      <c r="K836" s="283"/>
      <c r="M836" s="283"/>
    </row>
    <row r="837" ht="15.75" customHeight="1">
      <c r="A837" s="283"/>
      <c r="B837" s="283"/>
      <c r="C837" s="283"/>
      <c r="E837" s="283"/>
      <c r="G837" s="283"/>
      <c r="I837" s="283"/>
      <c r="K837" s="283"/>
      <c r="M837" s="283"/>
    </row>
    <row r="838" ht="15.75" customHeight="1">
      <c r="A838" s="283"/>
      <c r="B838" s="283"/>
      <c r="C838" s="283"/>
      <c r="E838" s="283"/>
      <c r="G838" s="283"/>
      <c r="I838" s="283"/>
      <c r="K838" s="283"/>
      <c r="M838" s="283"/>
    </row>
    <row r="839" ht="15.75" customHeight="1">
      <c r="A839" s="283"/>
      <c r="B839" s="283"/>
      <c r="C839" s="283"/>
      <c r="E839" s="283"/>
      <c r="G839" s="283"/>
      <c r="I839" s="283"/>
      <c r="K839" s="283"/>
      <c r="M839" s="283"/>
    </row>
    <row r="840" ht="15.75" customHeight="1">
      <c r="A840" s="283"/>
      <c r="B840" s="283"/>
      <c r="C840" s="283"/>
      <c r="E840" s="283"/>
      <c r="G840" s="283"/>
      <c r="I840" s="283"/>
      <c r="K840" s="283"/>
      <c r="M840" s="283"/>
    </row>
    <row r="841" ht="15.75" customHeight="1">
      <c r="A841" s="283"/>
      <c r="B841" s="283"/>
      <c r="C841" s="283"/>
      <c r="E841" s="283"/>
      <c r="G841" s="283"/>
      <c r="I841" s="283"/>
      <c r="K841" s="283"/>
      <c r="M841" s="283"/>
    </row>
    <row r="842" ht="15.75" customHeight="1">
      <c r="A842" s="283"/>
      <c r="B842" s="283"/>
      <c r="C842" s="283"/>
      <c r="E842" s="283"/>
      <c r="G842" s="283"/>
      <c r="I842" s="283"/>
      <c r="K842" s="283"/>
      <c r="M842" s="283"/>
    </row>
    <row r="843" ht="15.75" customHeight="1">
      <c r="A843" s="283"/>
      <c r="B843" s="283"/>
      <c r="C843" s="283"/>
      <c r="E843" s="283"/>
      <c r="G843" s="283"/>
      <c r="I843" s="283"/>
      <c r="K843" s="283"/>
      <c r="M843" s="283"/>
    </row>
    <row r="844" ht="15.75" customHeight="1">
      <c r="A844" s="283"/>
      <c r="B844" s="283"/>
      <c r="C844" s="283"/>
      <c r="E844" s="283"/>
      <c r="G844" s="283"/>
      <c r="I844" s="283"/>
      <c r="K844" s="283"/>
      <c r="M844" s="283"/>
    </row>
    <row r="845" ht="15.75" customHeight="1">
      <c r="A845" s="283"/>
      <c r="B845" s="283"/>
      <c r="C845" s="283"/>
      <c r="E845" s="283"/>
      <c r="G845" s="283"/>
      <c r="I845" s="283"/>
      <c r="K845" s="283"/>
      <c r="M845" s="283"/>
    </row>
    <row r="846" ht="15.75" customHeight="1">
      <c r="A846" s="283"/>
      <c r="B846" s="283"/>
      <c r="C846" s="283"/>
      <c r="E846" s="283"/>
      <c r="G846" s="283"/>
      <c r="I846" s="283"/>
      <c r="K846" s="283"/>
      <c r="M846" s="283"/>
    </row>
    <row r="847" ht="15.75" customHeight="1">
      <c r="A847" s="283"/>
      <c r="B847" s="283"/>
      <c r="C847" s="283"/>
      <c r="E847" s="283"/>
      <c r="G847" s="283"/>
      <c r="I847" s="283"/>
      <c r="K847" s="283"/>
      <c r="M847" s="283"/>
    </row>
    <row r="848" ht="15.75" customHeight="1">
      <c r="A848" s="283"/>
      <c r="B848" s="283"/>
      <c r="C848" s="283"/>
      <c r="E848" s="283"/>
      <c r="G848" s="283"/>
      <c r="I848" s="283"/>
      <c r="K848" s="283"/>
      <c r="M848" s="283"/>
    </row>
    <row r="849" ht="15.75" customHeight="1">
      <c r="A849" s="283"/>
      <c r="B849" s="283"/>
      <c r="C849" s="283"/>
      <c r="E849" s="283"/>
      <c r="G849" s="283"/>
      <c r="I849" s="283"/>
      <c r="K849" s="283"/>
      <c r="M849" s="283"/>
    </row>
    <row r="850" ht="15.75" customHeight="1">
      <c r="A850" s="283"/>
      <c r="B850" s="283"/>
      <c r="C850" s="283"/>
      <c r="E850" s="283"/>
      <c r="G850" s="283"/>
      <c r="I850" s="283"/>
      <c r="K850" s="283"/>
      <c r="M850" s="283"/>
    </row>
    <row r="851" ht="15.75" customHeight="1">
      <c r="A851" s="283"/>
      <c r="B851" s="283"/>
      <c r="C851" s="283"/>
      <c r="E851" s="283"/>
      <c r="G851" s="283"/>
      <c r="I851" s="283"/>
      <c r="K851" s="283"/>
      <c r="M851" s="283"/>
    </row>
    <row r="852" ht="15.75" customHeight="1">
      <c r="A852" s="283"/>
      <c r="B852" s="283"/>
      <c r="C852" s="283"/>
      <c r="E852" s="283"/>
      <c r="G852" s="283"/>
      <c r="I852" s="283"/>
      <c r="K852" s="283"/>
      <c r="M852" s="283"/>
    </row>
    <row r="853" ht="15.75" customHeight="1">
      <c r="A853" s="283"/>
      <c r="B853" s="283"/>
      <c r="C853" s="283"/>
      <c r="E853" s="283"/>
      <c r="G853" s="283"/>
      <c r="I853" s="283"/>
      <c r="K853" s="283"/>
      <c r="M853" s="283"/>
    </row>
    <row r="854" ht="15.75" customHeight="1">
      <c r="A854" s="283"/>
      <c r="B854" s="283"/>
      <c r="C854" s="283"/>
      <c r="E854" s="283"/>
      <c r="G854" s="283"/>
      <c r="I854" s="283"/>
      <c r="K854" s="283"/>
      <c r="M854" s="283"/>
    </row>
    <row r="855" ht="15.75" customHeight="1">
      <c r="A855" s="283"/>
      <c r="B855" s="283"/>
      <c r="C855" s="283"/>
      <c r="E855" s="283"/>
      <c r="G855" s="283"/>
      <c r="I855" s="283"/>
      <c r="K855" s="283"/>
      <c r="M855" s="283"/>
    </row>
    <row r="856" ht="15.75" customHeight="1">
      <c r="A856" s="283"/>
      <c r="B856" s="283"/>
      <c r="C856" s="283"/>
      <c r="E856" s="283"/>
      <c r="G856" s="283"/>
      <c r="I856" s="283"/>
      <c r="K856" s="283"/>
      <c r="M856" s="283"/>
    </row>
    <row r="857" ht="15.75" customHeight="1">
      <c r="A857" s="283"/>
      <c r="B857" s="283"/>
      <c r="C857" s="283"/>
      <c r="E857" s="283"/>
      <c r="G857" s="283"/>
      <c r="I857" s="283"/>
      <c r="K857" s="283"/>
      <c r="M857" s="283"/>
    </row>
    <row r="858" ht="15.75" customHeight="1">
      <c r="A858" s="283"/>
      <c r="B858" s="283"/>
      <c r="C858" s="283"/>
      <c r="E858" s="283"/>
      <c r="G858" s="283"/>
      <c r="I858" s="283"/>
      <c r="K858" s="283"/>
      <c r="M858" s="283"/>
    </row>
    <row r="859" ht="15.75" customHeight="1">
      <c r="A859" s="283"/>
      <c r="B859" s="283"/>
      <c r="C859" s="283"/>
      <c r="E859" s="283"/>
      <c r="G859" s="283"/>
      <c r="I859" s="283"/>
      <c r="K859" s="283"/>
      <c r="M859" s="283"/>
    </row>
    <row r="860" ht="15.75" customHeight="1">
      <c r="A860" s="283"/>
      <c r="B860" s="283"/>
      <c r="C860" s="283"/>
      <c r="E860" s="283"/>
      <c r="G860" s="283"/>
      <c r="I860" s="283"/>
      <c r="K860" s="283"/>
      <c r="M860" s="283"/>
    </row>
    <row r="861" ht="15.75" customHeight="1">
      <c r="A861" s="283"/>
      <c r="B861" s="283"/>
      <c r="C861" s="283"/>
      <c r="E861" s="283"/>
      <c r="G861" s="283"/>
      <c r="I861" s="283"/>
      <c r="K861" s="283"/>
      <c r="M861" s="283"/>
    </row>
    <row r="862" ht="15.75" customHeight="1">
      <c r="A862" s="283"/>
      <c r="B862" s="283"/>
      <c r="C862" s="283"/>
      <c r="E862" s="283"/>
      <c r="G862" s="283"/>
      <c r="I862" s="283"/>
      <c r="K862" s="283"/>
      <c r="M862" s="283"/>
    </row>
    <row r="863" ht="15.75" customHeight="1">
      <c r="A863" s="283"/>
      <c r="B863" s="283"/>
      <c r="C863" s="283"/>
      <c r="E863" s="283"/>
      <c r="G863" s="283"/>
      <c r="I863" s="283"/>
      <c r="K863" s="283"/>
      <c r="M863" s="283"/>
    </row>
    <row r="864" ht="15.75" customHeight="1">
      <c r="A864" s="283"/>
      <c r="B864" s="283"/>
      <c r="C864" s="283"/>
      <c r="E864" s="283"/>
      <c r="G864" s="283"/>
      <c r="I864" s="283"/>
      <c r="K864" s="283"/>
      <c r="M864" s="283"/>
    </row>
    <row r="865" ht="15.75" customHeight="1">
      <c r="A865" s="283"/>
      <c r="B865" s="283"/>
      <c r="C865" s="283"/>
      <c r="E865" s="283"/>
      <c r="G865" s="283"/>
      <c r="I865" s="283"/>
      <c r="K865" s="283"/>
      <c r="M865" s="283"/>
    </row>
    <row r="866" ht="15.75" customHeight="1">
      <c r="A866" s="283"/>
      <c r="B866" s="283"/>
      <c r="C866" s="283"/>
      <c r="E866" s="283"/>
      <c r="G866" s="283"/>
      <c r="I866" s="283"/>
      <c r="K866" s="283"/>
      <c r="M866" s="283"/>
    </row>
    <row r="867" ht="15.75" customHeight="1">
      <c r="A867" s="283"/>
      <c r="B867" s="283"/>
      <c r="C867" s="283"/>
      <c r="E867" s="283"/>
      <c r="G867" s="283"/>
      <c r="I867" s="283"/>
      <c r="K867" s="283"/>
      <c r="M867" s="283"/>
    </row>
    <row r="868" ht="15.75" customHeight="1">
      <c r="A868" s="283"/>
      <c r="B868" s="283"/>
      <c r="C868" s="283"/>
      <c r="E868" s="283"/>
      <c r="G868" s="283"/>
      <c r="I868" s="283"/>
      <c r="K868" s="283"/>
      <c r="M868" s="283"/>
    </row>
    <row r="869" ht="15.75" customHeight="1">
      <c r="A869" s="283"/>
      <c r="B869" s="283"/>
      <c r="C869" s="283"/>
      <c r="E869" s="283"/>
      <c r="G869" s="283"/>
      <c r="I869" s="283"/>
      <c r="K869" s="283"/>
      <c r="M869" s="283"/>
    </row>
    <row r="870" ht="15.75" customHeight="1">
      <c r="A870" s="283"/>
      <c r="B870" s="283"/>
      <c r="C870" s="283"/>
      <c r="E870" s="283"/>
      <c r="G870" s="283"/>
      <c r="I870" s="283"/>
      <c r="K870" s="283"/>
      <c r="M870" s="283"/>
    </row>
    <row r="871" ht="15.75" customHeight="1">
      <c r="A871" s="283"/>
      <c r="B871" s="283"/>
      <c r="C871" s="283"/>
      <c r="E871" s="283"/>
      <c r="G871" s="283"/>
      <c r="I871" s="283"/>
      <c r="K871" s="283"/>
      <c r="M871" s="283"/>
    </row>
    <row r="872" ht="15.75" customHeight="1">
      <c r="A872" s="283"/>
      <c r="B872" s="283"/>
      <c r="C872" s="283"/>
      <c r="E872" s="283"/>
      <c r="G872" s="283"/>
      <c r="I872" s="283"/>
      <c r="K872" s="283"/>
      <c r="M872" s="283"/>
    </row>
    <row r="873" ht="15.75" customHeight="1">
      <c r="A873" s="283"/>
      <c r="B873" s="283"/>
      <c r="C873" s="283"/>
      <c r="E873" s="283"/>
      <c r="G873" s="283"/>
      <c r="I873" s="283"/>
      <c r="K873" s="283"/>
      <c r="M873" s="283"/>
    </row>
    <row r="874" ht="15.75" customHeight="1">
      <c r="A874" s="283"/>
      <c r="B874" s="283"/>
      <c r="C874" s="283"/>
      <c r="E874" s="283"/>
      <c r="G874" s="283"/>
      <c r="I874" s="283"/>
      <c r="K874" s="283"/>
      <c r="M874" s="283"/>
    </row>
    <row r="875" ht="15.75" customHeight="1">
      <c r="A875" s="283"/>
      <c r="B875" s="283"/>
      <c r="C875" s="283"/>
      <c r="E875" s="283"/>
      <c r="G875" s="283"/>
      <c r="I875" s="283"/>
      <c r="K875" s="283"/>
      <c r="M875" s="283"/>
    </row>
    <row r="876" ht="15.75" customHeight="1">
      <c r="A876" s="283"/>
      <c r="B876" s="283"/>
      <c r="C876" s="283"/>
      <c r="E876" s="283"/>
      <c r="G876" s="283"/>
      <c r="I876" s="283"/>
      <c r="K876" s="283"/>
      <c r="M876" s="283"/>
    </row>
    <row r="877" ht="15.75" customHeight="1">
      <c r="A877" s="283"/>
      <c r="B877" s="283"/>
      <c r="C877" s="283"/>
      <c r="E877" s="283"/>
      <c r="G877" s="283"/>
      <c r="I877" s="283"/>
      <c r="K877" s="283"/>
      <c r="M877" s="283"/>
    </row>
    <row r="878" ht="15.75" customHeight="1">
      <c r="A878" s="283"/>
      <c r="B878" s="283"/>
      <c r="C878" s="283"/>
      <c r="E878" s="283"/>
      <c r="G878" s="283"/>
      <c r="I878" s="283"/>
      <c r="K878" s="283"/>
      <c r="M878" s="283"/>
    </row>
    <row r="879" ht="15.75" customHeight="1">
      <c r="A879" s="283"/>
      <c r="B879" s="283"/>
      <c r="C879" s="283"/>
      <c r="E879" s="283"/>
      <c r="G879" s="283"/>
      <c r="I879" s="283"/>
      <c r="K879" s="283"/>
      <c r="M879" s="283"/>
    </row>
    <row r="880" ht="15.75" customHeight="1">
      <c r="A880" s="283"/>
      <c r="B880" s="283"/>
      <c r="C880" s="283"/>
      <c r="E880" s="283"/>
      <c r="G880" s="283"/>
      <c r="I880" s="283"/>
      <c r="K880" s="283"/>
      <c r="M880" s="283"/>
    </row>
    <row r="881" ht="15.75" customHeight="1">
      <c r="A881" s="283"/>
      <c r="B881" s="283"/>
      <c r="C881" s="283"/>
      <c r="E881" s="283"/>
      <c r="G881" s="283"/>
      <c r="I881" s="283"/>
      <c r="K881" s="283"/>
      <c r="M881" s="283"/>
    </row>
    <row r="882" ht="15.75" customHeight="1">
      <c r="A882" s="283"/>
      <c r="B882" s="283"/>
      <c r="C882" s="283"/>
      <c r="E882" s="283"/>
      <c r="G882" s="283"/>
      <c r="I882" s="283"/>
      <c r="K882" s="283"/>
      <c r="M882" s="283"/>
    </row>
    <row r="883" ht="15.75" customHeight="1">
      <c r="A883" s="283"/>
      <c r="B883" s="283"/>
      <c r="C883" s="283"/>
      <c r="E883" s="283"/>
      <c r="G883" s="283"/>
      <c r="I883" s="283"/>
      <c r="K883" s="283"/>
      <c r="M883" s="283"/>
    </row>
    <row r="884" ht="15.75" customHeight="1">
      <c r="A884" s="283"/>
      <c r="B884" s="283"/>
      <c r="C884" s="283"/>
      <c r="E884" s="283"/>
      <c r="G884" s="283"/>
      <c r="I884" s="283"/>
      <c r="K884" s="283"/>
      <c r="M884" s="283"/>
    </row>
    <row r="885" ht="15.75" customHeight="1">
      <c r="A885" s="283"/>
      <c r="B885" s="283"/>
      <c r="C885" s="283"/>
      <c r="E885" s="283"/>
      <c r="G885" s="283"/>
      <c r="I885" s="283"/>
      <c r="K885" s="283"/>
      <c r="M885" s="283"/>
    </row>
    <row r="886" ht="15.75" customHeight="1">
      <c r="A886" s="283"/>
      <c r="B886" s="283"/>
      <c r="C886" s="283"/>
      <c r="E886" s="283"/>
      <c r="G886" s="283"/>
      <c r="I886" s="283"/>
      <c r="K886" s="283"/>
      <c r="M886" s="283"/>
    </row>
    <row r="887" ht="15.75" customHeight="1">
      <c r="A887" s="283"/>
      <c r="B887" s="283"/>
      <c r="C887" s="283"/>
      <c r="E887" s="283"/>
      <c r="G887" s="283"/>
      <c r="I887" s="283"/>
      <c r="K887" s="283"/>
      <c r="M887" s="283"/>
    </row>
    <row r="888" ht="15.75" customHeight="1">
      <c r="A888" s="283"/>
      <c r="B888" s="283"/>
      <c r="C888" s="283"/>
      <c r="E888" s="283"/>
      <c r="G888" s="283"/>
      <c r="I888" s="283"/>
      <c r="K888" s="283"/>
      <c r="M888" s="283"/>
    </row>
    <row r="889" ht="15.75" customHeight="1">
      <c r="A889" s="283"/>
      <c r="B889" s="283"/>
      <c r="C889" s="283"/>
      <c r="E889" s="283"/>
      <c r="G889" s="283"/>
      <c r="I889" s="283"/>
      <c r="K889" s="283"/>
      <c r="M889" s="283"/>
    </row>
    <row r="890" ht="15.75" customHeight="1">
      <c r="A890" s="283"/>
      <c r="B890" s="283"/>
      <c r="C890" s="283"/>
      <c r="E890" s="283"/>
      <c r="G890" s="283"/>
      <c r="I890" s="283"/>
      <c r="K890" s="283"/>
      <c r="M890" s="283"/>
    </row>
    <row r="891" ht="15.75" customHeight="1">
      <c r="A891" s="283"/>
      <c r="B891" s="283"/>
      <c r="C891" s="283"/>
      <c r="E891" s="283"/>
      <c r="G891" s="283"/>
      <c r="I891" s="283"/>
      <c r="K891" s="283"/>
      <c r="M891" s="283"/>
    </row>
    <row r="892" ht="15.75" customHeight="1">
      <c r="A892" s="283"/>
      <c r="B892" s="283"/>
      <c r="C892" s="283"/>
      <c r="E892" s="283"/>
      <c r="G892" s="283"/>
      <c r="I892" s="283"/>
      <c r="K892" s="283"/>
      <c r="M892" s="283"/>
    </row>
    <row r="893" ht="15.75" customHeight="1">
      <c r="A893" s="283"/>
      <c r="B893" s="283"/>
      <c r="C893" s="283"/>
      <c r="E893" s="283"/>
      <c r="G893" s="283"/>
      <c r="I893" s="283"/>
      <c r="K893" s="283"/>
      <c r="M893" s="283"/>
    </row>
    <row r="894" ht="15.75" customHeight="1">
      <c r="A894" s="283"/>
      <c r="B894" s="283"/>
      <c r="C894" s="283"/>
      <c r="E894" s="283"/>
      <c r="G894" s="283"/>
      <c r="I894" s="283"/>
      <c r="K894" s="283"/>
      <c r="M894" s="283"/>
    </row>
    <row r="895" ht="15.75" customHeight="1">
      <c r="A895" s="283"/>
      <c r="B895" s="283"/>
      <c r="C895" s="283"/>
      <c r="E895" s="283"/>
      <c r="G895" s="283"/>
      <c r="I895" s="283"/>
      <c r="K895" s="283"/>
      <c r="M895" s="283"/>
    </row>
    <row r="896" ht="15.75" customHeight="1">
      <c r="A896" s="283"/>
      <c r="B896" s="283"/>
      <c r="C896" s="283"/>
      <c r="E896" s="283"/>
      <c r="G896" s="283"/>
      <c r="I896" s="283"/>
      <c r="K896" s="283"/>
      <c r="M896" s="283"/>
    </row>
    <row r="897" ht="15.75" customHeight="1">
      <c r="A897" s="283"/>
      <c r="B897" s="283"/>
      <c r="C897" s="283"/>
      <c r="E897" s="283"/>
      <c r="G897" s="283"/>
      <c r="I897" s="283"/>
      <c r="K897" s="283"/>
      <c r="M897" s="283"/>
    </row>
    <row r="898" ht="15.75" customHeight="1">
      <c r="A898" s="283"/>
      <c r="B898" s="283"/>
      <c r="C898" s="283"/>
      <c r="E898" s="283"/>
      <c r="G898" s="283"/>
      <c r="I898" s="283"/>
      <c r="K898" s="283"/>
      <c r="M898" s="283"/>
    </row>
    <row r="899" ht="15.75" customHeight="1">
      <c r="A899" s="283"/>
      <c r="B899" s="283"/>
      <c r="C899" s="283"/>
      <c r="E899" s="283"/>
      <c r="G899" s="283"/>
      <c r="I899" s="283"/>
      <c r="K899" s="283"/>
      <c r="M899" s="283"/>
    </row>
    <row r="900" ht="15.75" customHeight="1">
      <c r="A900" s="283"/>
      <c r="B900" s="283"/>
      <c r="C900" s="283"/>
      <c r="E900" s="283"/>
      <c r="G900" s="283"/>
      <c r="I900" s="283"/>
      <c r="K900" s="283"/>
      <c r="M900" s="283"/>
    </row>
    <row r="901" ht="15.75" customHeight="1">
      <c r="A901" s="283"/>
      <c r="B901" s="283"/>
      <c r="C901" s="283"/>
      <c r="E901" s="283"/>
      <c r="G901" s="283"/>
      <c r="I901" s="283"/>
      <c r="K901" s="283"/>
      <c r="M901" s="283"/>
    </row>
    <row r="902" ht="15.75" customHeight="1">
      <c r="A902" s="283"/>
      <c r="B902" s="283"/>
      <c r="C902" s="283"/>
      <c r="E902" s="283"/>
      <c r="G902" s="283"/>
      <c r="I902" s="283"/>
      <c r="K902" s="283"/>
      <c r="M902" s="283"/>
    </row>
    <row r="903" ht="15.75" customHeight="1">
      <c r="A903" s="283"/>
      <c r="B903" s="283"/>
      <c r="C903" s="283"/>
      <c r="E903" s="283"/>
      <c r="G903" s="283"/>
      <c r="I903" s="283"/>
      <c r="K903" s="283"/>
      <c r="M903" s="283"/>
    </row>
    <row r="904" ht="15.75" customHeight="1">
      <c r="A904" s="283"/>
      <c r="B904" s="283"/>
      <c r="C904" s="283"/>
      <c r="E904" s="283"/>
      <c r="G904" s="283"/>
      <c r="I904" s="283"/>
      <c r="K904" s="283"/>
      <c r="M904" s="283"/>
    </row>
    <row r="905" ht="15.75" customHeight="1">
      <c r="A905" s="283"/>
      <c r="B905" s="283"/>
      <c r="C905" s="283"/>
      <c r="E905" s="283"/>
      <c r="G905" s="283"/>
      <c r="I905" s="283"/>
      <c r="K905" s="283"/>
      <c r="M905" s="283"/>
    </row>
    <row r="906" ht="15.75" customHeight="1">
      <c r="A906" s="283"/>
      <c r="B906" s="283"/>
      <c r="C906" s="283"/>
      <c r="E906" s="283"/>
      <c r="G906" s="283"/>
      <c r="I906" s="283"/>
      <c r="K906" s="283"/>
      <c r="M906" s="283"/>
    </row>
    <row r="907" ht="15.75" customHeight="1">
      <c r="A907" s="283"/>
      <c r="B907" s="283"/>
      <c r="C907" s="283"/>
      <c r="E907" s="283"/>
      <c r="G907" s="283"/>
      <c r="I907" s="283"/>
      <c r="K907" s="283"/>
      <c r="M907" s="283"/>
    </row>
    <row r="908" ht="15.75" customHeight="1">
      <c r="A908" s="283"/>
      <c r="B908" s="283"/>
      <c r="C908" s="283"/>
      <c r="E908" s="283"/>
      <c r="G908" s="283"/>
      <c r="I908" s="283"/>
      <c r="K908" s="283"/>
      <c r="M908" s="283"/>
    </row>
    <row r="909" ht="15.75" customHeight="1">
      <c r="A909" s="283"/>
      <c r="B909" s="283"/>
      <c r="C909" s="283"/>
      <c r="E909" s="283"/>
      <c r="G909" s="283"/>
      <c r="I909" s="283"/>
      <c r="K909" s="283"/>
      <c r="M909" s="283"/>
    </row>
    <row r="910" ht="15.75" customHeight="1">
      <c r="A910" s="283"/>
      <c r="B910" s="283"/>
      <c r="C910" s="283"/>
      <c r="E910" s="283"/>
      <c r="G910" s="283"/>
      <c r="I910" s="283"/>
      <c r="K910" s="283"/>
      <c r="M910" s="283"/>
    </row>
    <row r="911" ht="15.75" customHeight="1">
      <c r="A911" s="283"/>
      <c r="B911" s="283"/>
      <c r="C911" s="283"/>
      <c r="E911" s="283"/>
      <c r="G911" s="283"/>
      <c r="I911" s="283"/>
      <c r="K911" s="283"/>
      <c r="M911" s="283"/>
    </row>
    <row r="912" ht="15.75" customHeight="1">
      <c r="A912" s="283"/>
      <c r="B912" s="283"/>
      <c r="C912" s="283"/>
      <c r="E912" s="283"/>
      <c r="G912" s="283"/>
      <c r="I912" s="283"/>
      <c r="K912" s="283"/>
      <c r="M912" s="283"/>
    </row>
    <row r="913" ht="15.75" customHeight="1">
      <c r="A913" s="283"/>
      <c r="B913" s="283"/>
      <c r="C913" s="283"/>
      <c r="E913" s="283"/>
      <c r="G913" s="283"/>
      <c r="I913" s="283"/>
      <c r="K913" s="283"/>
      <c r="M913" s="283"/>
    </row>
    <row r="914" ht="15.75" customHeight="1">
      <c r="A914" s="283"/>
      <c r="B914" s="283"/>
      <c r="C914" s="283"/>
      <c r="E914" s="283"/>
      <c r="G914" s="283"/>
      <c r="I914" s="283"/>
      <c r="K914" s="283"/>
      <c r="M914" s="283"/>
    </row>
    <row r="915" ht="15.75" customHeight="1">
      <c r="A915" s="283"/>
      <c r="B915" s="283"/>
      <c r="C915" s="283"/>
      <c r="E915" s="283"/>
      <c r="G915" s="283"/>
      <c r="I915" s="283"/>
      <c r="K915" s="283"/>
      <c r="M915" s="283"/>
    </row>
    <row r="916" ht="15.75" customHeight="1">
      <c r="A916" s="283"/>
      <c r="B916" s="283"/>
      <c r="C916" s="283"/>
      <c r="E916" s="283"/>
      <c r="G916" s="283"/>
      <c r="I916" s="283"/>
      <c r="K916" s="283"/>
      <c r="M916" s="283"/>
    </row>
    <row r="917" ht="15.75" customHeight="1">
      <c r="A917" s="283"/>
      <c r="B917" s="283"/>
      <c r="C917" s="283"/>
      <c r="E917" s="283"/>
      <c r="G917" s="283"/>
      <c r="I917" s="283"/>
      <c r="K917" s="283"/>
      <c r="M917" s="283"/>
    </row>
    <row r="918" ht="15.75" customHeight="1">
      <c r="A918" s="283"/>
      <c r="B918" s="283"/>
      <c r="C918" s="283"/>
      <c r="E918" s="283"/>
      <c r="G918" s="283"/>
      <c r="I918" s="283"/>
      <c r="K918" s="283"/>
      <c r="M918" s="283"/>
    </row>
    <row r="919" ht="15.75" customHeight="1">
      <c r="A919" s="283"/>
      <c r="B919" s="283"/>
      <c r="C919" s="283"/>
      <c r="E919" s="283"/>
      <c r="G919" s="283"/>
      <c r="I919" s="283"/>
      <c r="K919" s="283"/>
      <c r="M919" s="283"/>
    </row>
    <row r="920" ht="15.75" customHeight="1">
      <c r="A920" s="283"/>
      <c r="B920" s="283"/>
      <c r="C920" s="283"/>
      <c r="E920" s="283"/>
      <c r="G920" s="283"/>
      <c r="I920" s="283"/>
      <c r="K920" s="283"/>
      <c r="M920" s="283"/>
    </row>
    <row r="921" ht="15.75" customHeight="1">
      <c r="A921" s="283"/>
      <c r="B921" s="283"/>
      <c r="C921" s="283"/>
      <c r="E921" s="283"/>
      <c r="G921" s="283"/>
      <c r="I921" s="283"/>
      <c r="K921" s="283"/>
      <c r="M921" s="283"/>
    </row>
    <row r="922" ht="15.75" customHeight="1">
      <c r="A922" s="283"/>
      <c r="B922" s="283"/>
      <c r="C922" s="283"/>
      <c r="E922" s="283"/>
      <c r="G922" s="283"/>
      <c r="I922" s="283"/>
      <c r="K922" s="283"/>
      <c r="M922" s="283"/>
    </row>
    <row r="923" ht="15.75" customHeight="1">
      <c r="A923" s="283"/>
      <c r="B923" s="283"/>
      <c r="C923" s="283"/>
      <c r="E923" s="283"/>
      <c r="G923" s="283"/>
      <c r="I923" s="283"/>
      <c r="K923" s="283"/>
      <c r="M923" s="283"/>
    </row>
    <row r="924" ht="15.75" customHeight="1">
      <c r="A924" s="283"/>
      <c r="B924" s="283"/>
      <c r="C924" s="283"/>
      <c r="E924" s="283"/>
      <c r="G924" s="283"/>
      <c r="I924" s="283"/>
      <c r="K924" s="283"/>
      <c r="M924" s="283"/>
    </row>
    <row r="925" ht="15.75" customHeight="1">
      <c r="A925" s="283"/>
      <c r="B925" s="283"/>
      <c r="C925" s="283"/>
      <c r="E925" s="283"/>
      <c r="G925" s="283"/>
      <c r="I925" s="283"/>
      <c r="K925" s="283"/>
      <c r="M925" s="283"/>
    </row>
    <row r="926" ht="15.75" customHeight="1">
      <c r="A926" s="283"/>
      <c r="B926" s="283"/>
      <c r="C926" s="283"/>
      <c r="E926" s="283"/>
      <c r="G926" s="283"/>
      <c r="I926" s="283"/>
      <c r="K926" s="283"/>
      <c r="M926" s="283"/>
    </row>
    <row r="927" ht="15.75" customHeight="1">
      <c r="A927" s="283"/>
      <c r="B927" s="283"/>
      <c r="C927" s="283"/>
      <c r="E927" s="283"/>
      <c r="G927" s="283"/>
      <c r="I927" s="283"/>
      <c r="K927" s="283"/>
      <c r="M927" s="283"/>
    </row>
    <row r="928" ht="15.75" customHeight="1">
      <c r="A928" s="283"/>
      <c r="B928" s="283"/>
      <c r="C928" s="283"/>
      <c r="E928" s="283"/>
      <c r="G928" s="283"/>
      <c r="I928" s="283"/>
      <c r="K928" s="283"/>
      <c r="M928" s="283"/>
    </row>
    <row r="929" ht="15.75" customHeight="1">
      <c r="A929" s="283"/>
      <c r="B929" s="283"/>
      <c r="C929" s="283"/>
      <c r="E929" s="283"/>
      <c r="G929" s="283"/>
      <c r="I929" s="283"/>
      <c r="K929" s="283"/>
      <c r="M929" s="283"/>
    </row>
    <row r="930" ht="15.75" customHeight="1">
      <c r="A930" s="283"/>
      <c r="B930" s="283"/>
      <c r="C930" s="283"/>
      <c r="E930" s="283"/>
      <c r="G930" s="283"/>
      <c r="I930" s="283"/>
      <c r="K930" s="283"/>
      <c r="M930" s="283"/>
    </row>
    <row r="931" ht="15.75" customHeight="1">
      <c r="A931" s="283"/>
      <c r="B931" s="283"/>
      <c r="C931" s="283"/>
      <c r="E931" s="283"/>
      <c r="G931" s="283"/>
      <c r="I931" s="283"/>
      <c r="K931" s="283"/>
      <c r="M931" s="283"/>
    </row>
    <row r="932" ht="15.75" customHeight="1">
      <c r="A932" s="283"/>
      <c r="B932" s="283"/>
      <c r="C932" s="283"/>
      <c r="E932" s="283"/>
      <c r="G932" s="283"/>
      <c r="I932" s="283"/>
      <c r="K932" s="283"/>
      <c r="M932" s="283"/>
    </row>
    <row r="933" ht="15.75" customHeight="1">
      <c r="A933" s="283"/>
      <c r="B933" s="283"/>
      <c r="C933" s="283"/>
      <c r="E933" s="283"/>
      <c r="G933" s="283"/>
      <c r="I933" s="283"/>
      <c r="K933" s="283"/>
      <c r="M933" s="283"/>
    </row>
    <row r="934" ht="15.75" customHeight="1">
      <c r="A934" s="283"/>
      <c r="B934" s="283"/>
      <c r="C934" s="283"/>
      <c r="E934" s="283"/>
      <c r="G934" s="283"/>
      <c r="I934" s="283"/>
      <c r="K934" s="283"/>
      <c r="M934" s="283"/>
    </row>
    <row r="935" ht="15.75" customHeight="1">
      <c r="A935" s="283"/>
      <c r="B935" s="283"/>
      <c r="C935" s="283"/>
      <c r="E935" s="283"/>
      <c r="G935" s="283"/>
      <c r="I935" s="283"/>
      <c r="K935" s="283"/>
      <c r="M935" s="283"/>
    </row>
    <row r="936" ht="15.75" customHeight="1">
      <c r="A936" s="283"/>
      <c r="B936" s="283"/>
      <c r="C936" s="283"/>
      <c r="E936" s="283"/>
      <c r="G936" s="283"/>
      <c r="I936" s="283"/>
      <c r="K936" s="283"/>
      <c r="M936" s="283"/>
    </row>
    <row r="937" ht="15.75" customHeight="1">
      <c r="A937" s="283"/>
      <c r="B937" s="283"/>
      <c r="C937" s="283"/>
      <c r="E937" s="283"/>
      <c r="G937" s="283"/>
      <c r="I937" s="283"/>
      <c r="K937" s="283"/>
      <c r="M937" s="283"/>
    </row>
    <row r="938" ht="15.75" customHeight="1">
      <c r="A938" s="283"/>
      <c r="B938" s="283"/>
      <c r="C938" s="283"/>
      <c r="E938" s="283"/>
      <c r="G938" s="283"/>
      <c r="I938" s="283"/>
      <c r="K938" s="283"/>
      <c r="M938" s="283"/>
    </row>
    <row r="939" ht="15.75" customHeight="1">
      <c r="A939" s="283"/>
      <c r="B939" s="283"/>
      <c r="C939" s="283"/>
      <c r="E939" s="283"/>
      <c r="G939" s="283"/>
      <c r="I939" s="283"/>
      <c r="K939" s="283"/>
      <c r="M939" s="283"/>
    </row>
    <row r="940" ht="15.75" customHeight="1">
      <c r="A940" s="283"/>
      <c r="B940" s="283"/>
      <c r="C940" s="283"/>
      <c r="E940" s="283"/>
      <c r="G940" s="283"/>
      <c r="I940" s="283"/>
      <c r="K940" s="283"/>
      <c r="M940" s="283"/>
    </row>
    <row r="941" ht="15.75" customHeight="1">
      <c r="A941" s="283"/>
      <c r="B941" s="283"/>
      <c r="C941" s="283"/>
      <c r="E941" s="283"/>
      <c r="G941" s="283"/>
      <c r="I941" s="283"/>
      <c r="K941" s="283"/>
      <c r="M941" s="283"/>
    </row>
    <row r="942" ht="15.75" customHeight="1">
      <c r="A942" s="283"/>
      <c r="B942" s="283"/>
      <c r="C942" s="283"/>
      <c r="E942" s="283"/>
      <c r="G942" s="283"/>
      <c r="I942" s="283"/>
      <c r="K942" s="283"/>
      <c r="M942" s="283"/>
    </row>
    <row r="943" ht="15.75" customHeight="1">
      <c r="A943" s="283"/>
      <c r="B943" s="283"/>
      <c r="C943" s="283"/>
      <c r="E943" s="283"/>
      <c r="G943" s="283"/>
      <c r="I943" s="283"/>
      <c r="K943" s="283"/>
      <c r="M943" s="283"/>
    </row>
    <row r="944" ht="15.75" customHeight="1">
      <c r="A944" s="283"/>
      <c r="B944" s="283"/>
      <c r="C944" s="283"/>
      <c r="E944" s="283"/>
      <c r="G944" s="283"/>
      <c r="I944" s="283"/>
      <c r="K944" s="283"/>
      <c r="M944" s="283"/>
    </row>
    <row r="945" ht="15.75" customHeight="1">
      <c r="A945" s="283"/>
      <c r="B945" s="283"/>
      <c r="C945" s="283"/>
      <c r="E945" s="283"/>
      <c r="G945" s="283"/>
      <c r="I945" s="283"/>
      <c r="K945" s="283"/>
      <c r="M945" s="283"/>
    </row>
    <row r="946" ht="15.75" customHeight="1">
      <c r="A946" s="283"/>
      <c r="B946" s="283"/>
      <c r="C946" s="283"/>
      <c r="E946" s="283"/>
      <c r="G946" s="283"/>
      <c r="I946" s="283"/>
      <c r="K946" s="283"/>
      <c r="M946" s="283"/>
    </row>
    <row r="947" ht="15.75" customHeight="1">
      <c r="A947" s="283"/>
      <c r="B947" s="283"/>
      <c r="C947" s="283"/>
      <c r="E947" s="283"/>
      <c r="G947" s="283"/>
      <c r="I947" s="283"/>
      <c r="K947" s="283"/>
      <c r="M947" s="283"/>
    </row>
    <row r="948" ht="15.75" customHeight="1">
      <c r="A948" s="283"/>
      <c r="B948" s="283"/>
      <c r="C948" s="283"/>
      <c r="E948" s="283"/>
      <c r="G948" s="283"/>
      <c r="I948" s="283"/>
      <c r="K948" s="283"/>
      <c r="M948" s="283"/>
    </row>
    <row r="949" ht="15.75" customHeight="1">
      <c r="A949" s="283"/>
      <c r="B949" s="283"/>
      <c r="C949" s="283"/>
      <c r="E949" s="283"/>
      <c r="G949" s="283"/>
      <c r="I949" s="283"/>
      <c r="K949" s="283"/>
      <c r="M949" s="283"/>
    </row>
    <row r="950" ht="15.75" customHeight="1">
      <c r="A950" s="283"/>
      <c r="B950" s="283"/>
      <c r="C950" s="283"/>
      <c r="E950" s="283"/>
      <c r="G950" s="283"/>
      <c r="I950" s="283"/>
      <c r="K950" s="283"/>
      <c r="M950" s="283"/>
    </row>
    <row r="951" ht="15.75" customHeight="1">
      <c r="A951" s="283"/>
      <c r="B951" s="283"/>
      <c r="C951" s="283"/>
      <c r="E951" s="283"/>
      <c r="G951" s="283"/>
      <c r="I951" s="283"/>
      <c r="K951" s="283"/>
      <c r="M951" s="283"/>
    </row>
    <row r="952" ht="15.75" customHeight="1">
      <c r="A952" s="283"/>
      <c r="B952" s="283"/>
      <c r="C952" s="283"/>
      <c r="E952" s="283"/>
      <c r="G952" s="283"/>
      <c r="I952" s="283"/>
      <c r="K952" s="283"/>
      <c r="M952" s="283"/>
    </row>
    <row r="953" ht="15.75" customHeight="1">
      <c r="A953" s="283"/>
      <c r="B953" s="283"/>
      <c r="C953" s="283"/>
      <c r="E953" s="283"/>
      <c r="G953" s="283"/>
      <c r="I953" s="283"/>
      <c r="K953" s="283"/>
      <c r="M953" s="283"/>
    </row>
    <row r="954" ht="15.75" customHeight="1">
      <c r="A954" s="283"/>
      <c r="B954" s="283"/>
      <c r="C954" s="283"/>
      <c r="E954" s="283"/>
      <c r="G954" s="283"/>
      <c r="I954" s="283"/>
      <c r="K954" s="283"/>
      <c r="M954" s="283"/>
    </row>
    <row r="955" ht="15.75" customHeight="1">
      <c r="A955" s="283"/>
      <c r="B955" s="283"/>
      <c r="C955" s="283"/>
      <c r="E955" s="283"/>
      <c r="G955" s="283"/>
      <c r="I955" s="283"/>
      <c r="K955" s="283"/>
      <c r="M955" s="283"/>
    </row>
    <row r="956" ht="15.75" customHeight="1">
      <c r="A956" s="283"/>
      <c r="B956" s="283"/>
      <c r="C956" s="283"/>
      <c r="E956" s="283"/>
      <c r="G956" s="283"/>
      <c r="I956" s="283"/>
      <c r="K956" s="283"/>
      <c r="M956" s="283"/>
    </row>
    <row r="957" ht="15.75" customHeight="1">
      <c r="A957" s="283"/>
      <c r="B957" s="283"/>
      <c r="C957" s="283"/>
      <c r="E957" s="283"/>
      <c r="G957" s="283"/>
      <c r="I957" s="283"/>
      <c r="K957" s="283"/>
      <c r="M957" s="283"/>
    </row>
    <row r="958" ht="15.75" customHeight="1">
      <c r="A958" s="283"/>
      <c r="B958" s="283"/>
      <c r="C958" s="283"/>
      <c r="E958" s="283"/>
      <c r="G958" s="283"/>
      <c r="I958" s="283"/>
      <c r="K958" s="283"/>
      <c r="M958" s="283"/>
    </row>
    <row r="959" ht="15.75" customHeight="1">
      <c r="A959" s="283"/>
      <c r="B959" s="283"/>
      <c r="C959" s="283"/>
      <c r="E959" s="283"/>
      <c r="G959" s="283"/>
      <c r="I959" s="283"/>
      <c r="K959" s="283"/>
      <c r="M959" s="283"/>
    </row>
    <row r="960" ht="15.75" customHeight="1">
      <c r="A960" s="283"/>
      <c r="B960" s="283"/>
      <c r="C960" s="283"/>
      <c r="E960" s="283"/>
      <c r="G960" s="283"/>
      <c r="I960" s="283"/>
      <c r="K960" s="283"/>
      <c r="M960" s="283"/>
    </row>
    <row r="961" ht="15.75" customHeight="1">
      <c r="A961" s="283"/>
      <c r="B961" s="283"/>
      <c r="C961" s="283"/>
      <c r="E961" s="283"/>
      <c r="G961" s="283"/>
      <c r="I961" s="283"/>
      <c r="K961" s="283"/>
      <c r="M961" s="283"/>
    </row>
    <row r="962" ht="15.75" customHeight="1">
      <c r="A962" s="283"/>
      <c r="B962" s="283"/>
      <c r="C962" s="283"/>
      <c r="E962" s="283"/>
      <c r="G962" s="283"/>
      <c r="I962" s="283"/>
      <c r="K962" s="283"/>
      <c r="M962" s="283"/>
    </row>
    <row r="963" ht="15.75" customHeight="1">
      <c r="A963" s="283"/>
      <c r="B963" s="283"/>
      <c r="C963" s="283"/>
      <c r="E963" s="283"/>
      <c r="G963" s="283"/>
      <c r="I963" s="283"/>
      <c r="K963" s="283"/>
      <c r="M963" s="283"/>
    </row>
    <row r="964" ht="15.75" customHeight="1">
      <c r="A964" s="283"/>
      <c r="B964" s="283"/>
      <c r="C964" s="283"/>
      <c r="E964" s="283"/>
      <c r="G964" s="283"/>
      <c r="I964" s="283"/>
      <c r="K964" s="283"/>
      <c r="M964" s="283"/>
    </row>
    <row r="965" ht="15.75" customHeight="1">
      <c r="A965" s="283"/>
      <c r="B965" s="283"/>
      <c r="C965" s="283"/>
      <c r="E965" s="283"/>
      <c r="G965" s="283"/>
      <c r="I965" s="283"/>
      <c r="K965" s="283"/>
      <c r="M965" s="283"/>
    </row>
    <row r="966" ht="15.75" customHeight="1">
      <c r="A966" s="283"/>
      <c r="B966" s="283"/>
      <c r="C966" s="283"/>
      <c r="E966" s="283"/>
      <c r="G966" s="283"/>
      <c r="I966" s="283"/>
      <c r="K966" s="283"/>
      <c r="M966" s="283"/>
    </row>
    <row r="967" ht="15.75" customHeight="1">
      <c r="A967" s="283"/>
      <c r="B967" s="283"/>
      <c r="C967" s="283"/>
      <c r="E967" s="283"/>
      <c r="G967" s="283"/>
      <c r="I967" s="283"/>
      <c r="K967" s="283"/>
      <c r="M967" s="283"/>
    </row>
    <row r="968" ht="15.75" customHeight="1">
      <c r="A968" s="283"/>
      <c r="B968" s="283"/>
      <c r="C968" s="283"/>
      <c r="E968" s="283"/>
      <c r="G968" s="283"/>
      <c r="I968" s="283"/>
      <c r="K968" s="283"/>
      <c r="M968" s="283"/>
    </row>
    <row r="969" ht="15.75" customHeight="1">
      <c r="A969" s="283"/>
      <c r="B969" s="283"/>
      <c r="C969" s="283"/>
      <c r="E969" s="283"/>
      <c r="G969" s="283"/>
      <c r="I969" s="283"/>
      <c r="K969" s="283"/>
      <c r="M969" s="283"/>
    </row>
    <row r="970" ht="15.75" customHeight="1">
      <c r="A970" s="283"/>
      <c r="B970" s="283"/>
      <c r="C970" s="283"/>
      <c r="E970" s="283"/>
      <c r="G970" s="283"/>
      <c r="I970" s="283"/>
      <c r="K970" s="283"/>
      <c r="M970" s="283"/>
    </row>
    <row r="971" ht="15.75" customHeight="1">
      <c r="A971" s="283"/>
      <c r="B971" s="283"/>
      <c r="C971" s="283"/>
      <c r="E971" s="283"/>
      <c r="G971" s="283"/>
      <c r="I971" s="283"/>
      <c r="K971" s="283"/>
      <c r="M971" s="283"/>
    </row>
    <row r="972" ht="15.75" customHeight="1">
      <c r="A972" s="283"/>
      <c r="B972" s="283"/>
      <c r="C972" s="283"/>
      <c r="E972" s="283"/>
      <c r="G972" s="283"/>
      <c r="I972" s="283"/>
      <c r="K972" s="283"/>
      <c r="M972" s="283"/>
    </row>
    <row r="973" ht="15.75" customHeight="1">
      <c r="A973" s="283"/>
      <c r="B973" s="283"/>
      <c r="C973" s="283"/>
      <c r="E973" s="283"/>
      <c r="G973" s="283"/>
      <c r="I973" s="283"/>
      <c r="K973" s="283"/>
      <c r="M973" s="283"/>
    </row>
    <row r="974" ht="15.75" customHeight="1">
      <c r="A974" s="283"/>
      <c r="B974" s="283"/>
      <c r="C974" s="283"/>
      <c r="E974" s="283"/>
      <c r="G974" s="283"/>
      <c r="I974" s="283"/>
      <c r="K974" s="283"/>
      <c r="M974" s="283"/>
    </row>
    <row r="975" ht="15.75" customHeight="1">
      <c r="A975" s="283"/>
      <c r="B975" s="283"/>
      <c r="C975" s="283"/>
      <c r="E975" s="283"/>
      <c r="G975" s="283"/>
      <c r="I975" s="283"/>
      <c r="K975" s="283"/>
      <c r="M975" s="283"/>
    </row>
    <row r="976" ht="15.75" customHeight="1">
      <c r="A976" s="283"/>
      <c r="B976" s="283"/>
      <c r="C976" s="283"/>
      <c r="E976" s="283"/>
      <c r="G976" s="283"/>
      <c r="I976" s="283"/>
      <c r="K976" s="283"/>
      <c r="M976" s="283"/>
    </row>
    <row r="977" ht="15.75" customHeight="1">
      <c r="A977" s="283"/>
      <c r="B977" s="283"/>
      <c r="C977" s="283"/>
      <c r="E977" s="283"/>
      <c r="G977" s="283"/>
      <c r="I977" s="283"/>
      <c r="K977" s="283"/>
      <c r="M977" s="283"/>
    </row>
    <row r="978" ht="15.75" customHeight="1">
      <c r="A978" s="283"/>
      <c r="B978" s="283"/>
      <c r="C978" s="283"/>
      <c r="E978" s="283"/>
      <c r="G978" s="283"/>
      <c r="I978" s="283"/>
      <c r="K978" s="283"/>
      <c r="M978" s="283"/>
    </row>
    <row r="979" ht="15.75" customHeight="1">
      <c r="A979" s="283"/>
      <c r="B979" s="283"/>
      <c r="C979" s="283"/>
      <c r="E979" s="283"/>
      <c r="G979" s="283"/>
      <c r="I979" s="283"/>
      <c r="K979" s="283"/>
      <c r="M979" s="283"/>
    </row>
    <row r="980" ht="15.75" customHeight="1">
      <c r="A980" s="283"/>
      <c r="B980" s="283"/>
      <c r="C980" s="283"/>
      <c r="E980" s="283"/>
      <c r="G980" s="283"/>
      <c r="I980" s="283"/>
      <c r="K980" s="283"/>
      <c r="M980" s="283"/>
    </row>
    <row r="981" ht="15.75" customHeight="1">
      <c r="A981" s="283"/>
      <c r="B981" s="283"/>
      <c r="C981" s="283"/>
      <c r="E981" s="283"/>
      <c r="G981" s="283"/>
      <c r="I981" s="283"/>
      <c r="K981" s="283"/>
      <c r="M981" s="283"/>
    </row>
    <row r="982" ht="15.75" customHeight="1">
      <c r="A982" s="283"/>
      <c r="B982" s="283"/>
      <c r="C982" s="283"/>
      <c r="E982" s="283"/>
      <c r="G982" s="283"/>
      <c r="I982" s="283"/>
      <c r="K982" s="283"/>
      <c r="M982" s="283"/>
    </row>
    <row r="983" ht="15.75" customHeight="1">
      <c r="A983" s="283"/>
      <c r="B983" s="283"/>
      <c r="C983" s="283"/>
      <c r="E983" s="283"/>
      <c r="G983" s="283"/>
      <c r="I983" s="283"/>
      <c r="K983" s="283"/>
      <c r="M983" s="283"/>
    </row>
    <row r="984" ht="15.75" customHeight="1">
      <c r="A984" s="283"/>
      <c r="B984" s="283"/>
      <c r="C984" s="283"/>
      <c r="E984" s="283"/>
      <c r="G984" s="283"/>
      <c r="I984" s="283"/>
      <c r="K984" s="283"/>
      <c r="M984" s="283"/>
    </row>
    <row r="985" ht="15.75" customHeight="1">
      <c r="A985" s="283"/>
      <c r="B985" s="283"/>
      <c r="C985" s="283"/>
      <c r="E985" s="283"/>
      <c r="G985" s="283"/>
      <c r="I985" s="283"/>
      <c r="K985" s="283"/>
      <c r="M985" s="283"/>
    </row>
    <row r="986" ht="15.75" customHeight="1">
      <c r="A986" s="283"/>
      <c r="B986" s="283"/>
      <c r="C986" s="283"/>
      <c r="E986" s="283"/>
      <c r="G986" s="283"/>
      <c r="I986" s="283"/>
      <c r="K986" s="283"/>
      <c r="M986" s="283"/>
    </row>
    <row r="987" ht="15.75" customHeight="1">
      <c r="A987" s="283"/>
      <c r="B987" s="283"/>
      <c r="C987" s="283"/>
      <c r="E987" s="283"/>
      <c r="G987" s="283"/>
      <c r="I987" s="283"/>
      <c r="K987" s="283"/>
      <c r="M987" s="283"/>
    </row>
    <row r="988" ht="15.75" customHeight="1">
      <c r="A988" s="283"/>
      <c r="B988" s="283"/>
      <c r="C988" s="283"/>
      <c r="E988" s="283"/>
      <c r="G988" s="283"/>
      <c r="I988" s="283"/>
      <c r="K988" s="283"/>
      <c r="M988" s="283"/>
    </row>
    <row r="989" ht="15.75" customHeight="1">
      <c r="A989" s="283"/>
      <c r="B989" s="283"/>
      <c r="C989" s="283"/>
      <c r="E989" s="283"/>
      <c r="G989" s="283"/>
      <c r="I989" s="283"/>
      <c r="K989" s="283"/>
      <c r="M989" s="283"/>
    </row>
    <row r="990" ht="15.75" customHeight="1">
      <c r="A990" s="283"/>
      <c r="B990" s="283"/>
      <c r="C990" s="283"/>
      <c r="E990" s="283"/>
      <c r="G990" s="283"/>
      <c r="I990" s="283"/>
      <c r="K990" s="283"/>
      <c r="M990" s="283"/>
    </row>
    <row r="991" ht="15.75" customHeight="1">
      <c r="A991" s="283"/>
      <c r="B991" s="283"/>
      <c r="C991" s="283"/>
      <c r="E991" s="283"/>
      <c r="G991" s="283"/>
      <c r="I991" s="283"/>
      <c r="K991" s="283"/>
      <c r="M991" s="283"/>
    </row>
    <row r="992" ht="15.75" customHeight="1">
      <c r="A992" s="283"/>
      <c r="B992" s="283"/>
      <c r="C992" s="283"/>
      <c r="E992" s="283"/>
      <c r="G992" s="283"/>
      <c r="I992" s="283"/>
      <c r="K992" s="283"/>
      <c r="M992" s="283"/>
    </row>
    <row r="993" ht="15.75" customHeight="1">
      <c r="A993" s="283"/>
      <c r="B993" s="283"/>
      <c r="C993" s="283"/>
      <c r="E993" s="283"/>
      <c r="G993" s="283"/>
      <c r="I993" s="283"/>
      <c r="K993" s="283"/>
      <c r="M993" s="283"/>
    </row>
    <row r="994" ht="15.75" customHeight="1">
      <c r="A994" s="283"/>
      <c r="B994" s="283"/>
      <c r="C994" s="283"/>
      <c r="E994" s="283"/>
      <c r="G994" s="283"/>
      <c r="I994" s="283"/>
      <c r="K994" s="283"/>
      <c r="M994" s="283"/>
    </row>
    <row r="995" ht="15.75" customHeight="1">
      <c r="A995" s="283"/>
      <c r="B995" s="283"/>
      <c r="C995" s="283"/>
      <c r="E995" s="283"/>
      <c r="G995" s="283"/>
      <c r="I995" s="283"/>
      <c r="K995" s="283"/>
      <c r="M995" s="283"/>
    </row>
    <row r="996" ht="15.75" customHeight="1">
      <c r="A996" s="283"/>
      <c r="B996" s="283"/>
      <c r="C996" s="283"/>
      <c r="E996" s="283"/>
      <c r="G996" s="283"/>
      <c r="I996" s="283"/>
      <c r="K996" s="283"/>
      <c r="M996" s="283"/>
    </row>
    <row r="997" ht="15.75" customHeight="1">
      <c r="A997" s="283"/>
      <c r="B997" s="283"/>
      <c r="C997" s="283"/>
      <c r="E997" s="283"/>
      <c r="G997" s="283"/>
      <c r="I997" s="283"/>
      <c r="K997" s="283"/>
      <c r="M997" s="283"/>
    </row>
    <row r="998" ht="15.75" customHeight="1">
      <c r="A998" s="283"/>
      <c r="B998" s="283"/>
      <c r="C998" s="283"/>
      <c r="E998" s="283"/>
      <c r="G998" s="283"/>
      <c r="I998" s="283"/>
      <c r="K998" s="283"/>
      <c r="M998" s="283"/>
    </row>
    <row r="999" ht="15.75" customHeight="1">
      <c r="A999" s="283"/>
      <c r="B999" s="283"/>
      <c r="C999" s="283"/>
      <c r="E999" s="283"/>
      <c r="G999" s="283"/>
      <c r="I999" s="283"/>
      <c r="K999" s="283"/>
      <c r="M999" s="283"/>
    </row>
    <row r="1000" ht="15.75" customHeight="1">
      <c r="A1000" s="283"/>
      <c r="B1000" s="283"/>
      <c r="C1000" s="283"/>
      <c r="E1000" s="283"/>
      <c r="G1000" s="283"/>
      <c r="I1000" s="283"/>
      <c r="K1000" s="283"/>
      <c r="M1000" s="283"/>
    </row>
  </sheetData>
  <conditionalFormatting sqref="B3:B6">
    <cfRule type="containsText" dxfId="13" priority="1" operator="containsText" text="Not Executed">
      <formula>NOT(ISERROR(SEARCH(("Not Executed"),(B3))))</formula>
    </cfRule>
  </conditionalFormatting>
  <conditionalFormatting sqref="B3:B6">
    <cfRule type="containsText" dxfId="14" priority="2" operator="containsText" text="BLOCKED">
      <formula>NOT(ISERROR(SEARCH(("BLOCKED"),(B3))))</formula>
    </cfRule>
  </conditionalFormatting>
  <conditionalFormatting sqref="B3:B6">
    <cfRule type="containsText" dxfId="15" priority="3" operator="containsText" text="PASS">
      <formula>NOT(ISERROR(SEARCH(("PASS"),(B3))))</formula>
    </cfRule>
  </conditionalFormatting>
  <conditionalFormatting sqref="B3:B6">
    <cfRule type="containsText" dxfId="16" priority="4" operator="containsText" text="FAIL">
      <formula>NOT(ISERROR(SEARCH(("FAIL"),(B3))))</formula>
    </cfRule>
  </conditionalFormatting>
  <conditionalFormatting sqref="D3:D7">
    <cfRule type="containsText" dxfId="22" priority="5" operator="containsText" text="N/A">
      <formula>NOT(ISERROR(SEARCH(("N/A"),(D3))))</formula>
    </cfRule>
  </conditionalFormatting>
  <conditionalFormatting sqref="D3:D7">
    <cfRule type="containsText" dxfId="9" priority="6" operator="containsText" text="Low">
      <formula>NOT(ISERROR(SEARCH(("Low"),(D3))))</formula>
    </cfRule>
  </conditionalFormatting>
  <conditionalFormatting sqref="D3:D7">
    <cfRule type="containsText" dxfId="21" priority="7" operator="containsText" text="Medium">
      <formula>NOT(ISERROR(SEARCH(("Medium"),(D3))))</formula>
    </cfRule>
  </conditionalFormatting>
  <conditionalFormatting sqref="D3:D7">
    <cfRule type="containsText" dxfId="23" priority="8" operator="containsText" text="High">
      <formula>NOT(ISERROR(SEARCH(("High"),(D3))))</formula>
    </cfRule>
  </conditionalFormatting>
  <conditionalFormatting sqref="D3:D7">
    <cfRule type="containsText" dxfId="11" priority="9" operator="containsText" text="Critical">
      <formula>NOT(ISERROR(SEARCH(("Critical"),(D3))))</formula>
    </cfRule>
  </conditionalFormatting>
  <conditionalFormatting sqref="F3:F5">
    <cfRule type="containsText" dxfId="17" priority="10" operator="containsText" text="Minor">
      <formula>NOT(ISERROR(SEARCH(("Minor"),(F3))))</formula>
    </cfRule>
  </conditionalFormatting>
  <conditionalFormatting sqref="F3:F5">
    <cfRule type="containsText" dxfId="10" priority="11" operator="containsText" text="Major">
      <formula>NOT(ISERROR(SEARCH(("Major"),(F3))))</formula>
    </cfRule>
  </conditionalFormatting>
  <conditionalFormatting sqref="F3:F5">
    <cfRule type="containsText" dxfId="24" priority="12" operator="containsText" text="Critical">
      <formula>NOT(ISERROR(SEARCH(("Critical"),(F3))))</formula>
    </cfRule>
  </conditionalFormatting>
  <conditionalFormatting sqref="H3:H8">
    <cfRule type="containsText" dxfId="2" priority="13" operator="containsText" text="Approved">
      <formula>NOT(ISERROR(SEARCH(("Approved"),(H3))))</formula>
    </cfRule>
  </conditionalFormatting>
  <conditionalFormatting sqref="H3:H8">
    <cfRule type="containsText" dxfId="3" priority="14" operator="containsText" text="Needs Review">
      <formula>NOT(ISERROR(SEARCH(("Needs Review"),(H3))))</formula>
    </cfRule>
  </conditionalFormatting>
  <conditionalFormatting sqref="H3:H8">
    <cfRule type="containsText" dxfId="4" priority="15" operator="containsText" text="Not Started">
      <formula>NOT(ISERROR(SEARCH(("Not Started"),(H3))))</formula>
    </cfRule>
  </conditionalFormatting>
  <conditionalFormatting sqref="H3:H8">
    <cfRule type="containsText" dxfId="5" priority="16" operator="containsText" text="On Hold">
      <formula>NOT(ISERROR(SEARCH(("On Hold"),(H3))))</formula>
    </cfRule>
  </conditionalFormatting>
  <conditionalFormatting sqref="H3:H8">
    <cfRule type="containsText" dxfId="6" priority="17" operator="containsText" text="Open">
      <formula>NOT(ISERROR(SEARCH(("Open"),(H3))))</formula>
    </cfRule>
  </conditionalFormatting>
  <conditionalFormatting sqref="H3:H8">
    <cfRule type="containsText" dxfId="7" priority="18" stopIfTrue="1" operator="containsText" text="Closed">
      <formula>NOT(ISERROR(SEARCH(("Closed"),(H3))))</formula>
    </cfRule>
  </conditionalFormatting>
  <conditionalFormatting sqref="H3:H8">
    <cfRule type="containsText" dxfId="8" priority="19" operator="containsText" text="In Progress">
      <formula>NOT(ISERROR(SEARCH(("In Progress"),(H3))))</formula>
    </cfRule>
  </conditionalFormatting>
  <conditionalFormatting sqref="J3:J9">
    <cfRule type="containsText" dxfId="25" priority="20" operator="containsText" text="Planned">
      <formula>NOT(ISERROR(SEARCH(("Planned"),(J3))))</formula>
    </cfRule>
  </conditionalFormatting>
  <conditionalFormatting sqref="J3:J9">
    <cfRule type="containsText" dxfId="5" priority="21" operator="containsText" text="On Hold">
      <formula>NOT(ISERROR(SEARCH(("On Hold"),(J3))))</formula>
    </cfRule>
  </conditionalFormatting>
  <conditionalFormatting sqref="J3:J9">
    <cfRule type="containsText" dxfId="26" priority="22" stopIfTrue="1" operator="containsText" text="Attempted">
      <formula>NOT(ISERROR(SEARCH(("Attempted"),(J3))))</formula>
    </cfRule>
  </conditionalFormatting>
  <conditionalFormatting sqref="J3:J9">
    <cfRule type="containsText" dxfId="27" priority="23" operator="containsText" text="Implemented">
      <formula>NOT(ISERROR(SEARCH(("Implemented"),(J3))))</formula>
    </cfRule>
  </conditionalFormatting>
  <conditionalFormatting sqref="L3:L11">
    <cfRule type="containsText" dxfId="2" priority="24" operator="containsText" text="Approved">
      <formula>NOT(ISERROR(SEARCH(("Approved"),(L3))))</formula>
    </cfRule>
  </conditionalFormatting>
  <conditionalFormatting sqref="L3:L11">
    <cfRule type="containsText" dxfId="3" priority="25" operator="containsText" text="Needs Review">
      <formula>NOT(ISERROR(SEARCH(("Needs Review"),(L3))))</formula>
    </cfRule>
  </conditionalFormatting>
  <conditionalFormatting sqref="L3:L11">
    <cfRule type="containsText" dxfId="4" priority="26" operator="containsText" text="Not Started">
      <formula>NOT(ISERROR(SEARCH(("Not Started"),(L3))))</formula>
    </cfRule>
  </conditionalFormatting>
  <conditionalFormatting sqref="L3:L11">
    <cfRule type="containsText" dxfId="5" priority="27" operator="containsText" text="On Hold">
      <formula>NOT(ISERROR(SEARCH(("On Hold"),(L3))))</formula>
    </cfRule>
  </conditionalFormatting>
  <conditionalFormatting sqref="L3:L11">
    <cfRule type="containsText" dxfId="6" priority="28" operator="containsText" text="Overdue">
      <formula>NOT(ISERROR(SEARCH(("Overdue"),(L3))))</formula>
    </cfRule>
  </conditionalFormatting>
  <conditionalFormatting sqref="L3:L11">
    <cfRule type="containsText" dxfId="28" priority="29" operator="containsText" text="Complete">
      <formula>NOT(ISERROR(SEARCH(("Complete"),(L3))))</formula>
    </cfRule>
  </conditionalFormatting>
  <conditionalFormatting sqref="L3:L11">
    <cfRule type="containsText" dxfId="29" priority="30" operator="containsText" text="In Progress">
      <formula>NOT(ISERROR(SEARCH(("In Progress"),(L3))))</formula>
    </cfRule>
  </conditionalFormatting>
  <conditionalFormatting sqref="N3:N5">
    <cfRule type="containsText" dxfId="18" priority="31" operator="containsText" text="Low">
      <formula>NOT(ISERROR(SEARCH(("Low"),(N3))))</formula>
    </cfRule>
  </conditionalFormatting>
  <conditionalFormatting sqref="N3:N5">
    <cfRule type="containsText" dxfId="0" priority="32" operator="containsText" text="Medium">
      <formula>NOT(ISERROR(SEARCH(("Medium"),(N3))))</formula>
    </cfRule>
  </conditionalFormatting>
  <conditionalFormatting sqref="N3:N5">
    <cfRule type="containsText" dxfId="1" priority="33" operator="containsText" text="High">
      <formula>NOT(ISERROR(SEARCH(("High"),(N3))))</formula>
    </cfRule>
  </conditionalFormatting>
  <printOptions/>
  <pageMargins bottom="0.75" footer="0.0" header="0.0" left="0.7" right="0.7" top="0.75"/>
  <pageSetup orientation="portrait"/>
  <drawing r:id="rId1"/>
</worksheet>
</file>